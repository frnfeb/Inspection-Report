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3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book\Desktop\"/>
    </mc:Choice>
  </mc:AlternateContent>
  <xr:revisionPtr revIDLastSave="0" documentId="13_ncr:1_{70EF7F6A-3270-46F6-8F2B-51CD7CEA351A}" xr6:coauthVersionLast="47" xr6:coauthVersionMax="47" xr10:uidLastSave="{00000000-0000-0000-0000-000000000000}"/>
  <bookViews>
    <workbookView xWindow="22932" yWindow="-780" windowWidth="30936" windowHeight="16776" activeTab="1" xr2:uid="{8720193A-5C65-4FDF-B79D-EBBF1491A1F2}"/>
  </bookViews>
  <sheets>
    <sheet name="TUTORIAL" sheetId="7" r:id="rId1"/>
    <sheet name="ISI DATA" sheetId="1" r:id="rId2"/>
    <sheet name="AUTO DARI ISI DATA" sheetId="4" r:id="rId3"/>
    <sheet name="CPL PUMP" sheetId="5" r:id="rId4"/>
    <sheet name="BUKTI FOTO" sheetId="6" r:id="rId5"/>
    <sheet name="LIST" sheetId="2" r:id="rId6"/>
  </sheets>
  <definedNames>
    <definedName name="DATA17">#REF!</definedName>
    <definedName name="DATA18">#REF!</definedName>
    <definedName name="DATA19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_xlnm.Print_Area" localSheetId="2">'AUTO DARI ISI DATA'!$A$1:$AT$59</definedName>
    <definedName name="_xlnm.Print_Area" localSheetId="4">'BUKTI FOTO'!$A$1:$AI$92</definedName>
    <definedName name="_xlnm.Print_Area" localSheetId="3">'CPL PUMP'!$A$1:$AK$75</definedName>
    <definedName name="_xlnm.Print_Area" localSheetId="0">TUTORIAL!$A$1:$AT$56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4" l="1"/>
  <c r="J40" i="4"/>
  <c r="Q40" i="4"/>
  <c r="AN46" i="4"/>
  <c r="AN47" i="4"/>
  <c r="AN48" i="4"/>
  <c r="AN49" i="4"/>
  <c r="AN50" i="4"/>
  <c r="AN51" i="4"/>
  <c r="AN52" i="4"/>
  <c r="AN53" i="4"/>
  <c r="AN54" i="4"/>
  <c r="AN55" i="4"/>
  <c r="W46" i="4"/>
  <c r="W47" i="4"/>
  <c r="W48" i="4"/>
  <c r="W49" i="4"/>
  <c r="W50" i="4"/>
  <c r="W51" i="4"/>
  <c r="W52" i="4"/>
  <c r="W53" i="4"/>
  <c r="W54" i="4"/>
  <c r="W55" i="4"/>
  <c r="S46" i="4"/>
  <c r="S47" i="4"/>
  <c r="S48" i="4"/>
  <c r="S49" i="4"/>
  <c r="S50" i="4"/>
  <c r="S51" i="4"/>
  <c r="S52" i="4"/>
  <c r="S53" i="4"/>
  <c r="S54" i="4"/>
  <c r="S55" i="4"/>
  <c r="P46" i="4"/>
  <c r="P47" i="4"/>
  <c r="P48" i="4"/>
  <c r="P49" i="4"/>
  <c r="P50" i="4"/>
  <c r="P51" i="4"/>
  <c r="P52" i="4"/>
  <c r="P53" i="4"/>
  <c r="P54" i="4"/>
  <c r="P55" i="4"/>
  <c r="D46" i="4"/>
  <c r="D47" i="4"/>
  <c r="D48" i="4"/>
  <c r="D49" i="4"/>
  <c r="D50" i="4"/>
  <c r="D51" i="4"/>
  <c r="D52" i="4"/>
  <c r="D53" i="4"/>
  <c r="D54" i="4"/>
  <c r="D55" i="4"/>
  <c r="A46" i="4"/>
  <c r="A47" i="4"/>
  <c r="A48" i="4"/>
  <c r="A49" i="4"/>
  <c r="A50" i="4"/>
  <c r="A51" i="4"/>
  <c r="A52" i="4"/>
  <c r="A53" i="4"/>
  <c r="A54" i="4"/>
  <c r="A55" i="4"/>
  <c r="S33" i="4"/>
  <c r="AF32" i="4"/>
  <c r="W32" i="4"/>
  <c r="N30" i="4"/>
  <c r="N28" i="4"/>
  <c r="N26" i="4"/>
  <c r="AC24" i="4"/>
  <c r="N24" i="4"/>
  <c r="AL15" i="4"/>
  <c r="AL12" i="4"/>
  <c r="A45" i="4"/>
  <c r="D45" i="4"/>
  <c r="P45" i="4"/>
  <c r="S45" i="4"/>
  <c r="W45" i="4"/>
  <c r="AN45" i="4"/>
  <c r="F34" i="7"/>
  <c r="AB16" i="7"/>
  <c r="V16" i="7"/>
  <c r="N16" i="7"/>
  <c r="AB15" i="7"/>
  <c r="V15" i="7"/>
  <c r="N15" i="7"/>
  <c r="AB14" i="7"/>
  <c r="V14" i="7"/>
  <c r="N14" i="7"/>
  <c r="AB13" i="7"/>
  <c r="V13" i="7"/>
  <c r="N13" i="7"/>
  <c r="AB12" i="7"/>
  <c r="V12" i="7"/>
  <c r="N12" i="7"/>
  <c r="Y11" i="7"/>
  <c r="N11" i="7"/>
  <c r="Y10" i="7"/>
  <c r="N10" i="7"/>
  <c r="Y9" i="7"/>
  <c r="A37" i="4" l="1"/>
  <c r="AN57" i="4"/>
  <c r="AI38" i="4"/>
  <c r="AA38" i="4"/>
  <c r="S38" i="4"/>
  <c r="K38" i="4"/>
  <c r="AO38" i="4"/>
  <c r="AM38" i="4"/>
  <c r="AK38" i="4"/>
  <c r="AG38" i="4"/>
  <c r="AE38" i="4"/>
  <c r="AC38" i="4"/>
  <c r="Y38" i="4"/>
  <c r="W38" i="4"/>
  <c r="U38" i="4"/>
  <c r="Q38" i="4"/>
  <c r="O38" i="4"/>
  <c r="M38" i="4"/>
  <c r="N9" i="4"/>
  <c r="AN35" i="4"/>
  <c r="AN34" i="4"/>
  <c r="AE35" i="4"/>
  <c r="AE34" i="4"/>
  <c r="S35" i="4"/>
  <c r="S34" i="4"/>
  <c r="AQ3" i="1"/>
  <c r="F37" i="4" s="1"/>
  <c r="AA15" i="4"/>
  <c r="AA16" i="4"/>
  <c r="AA17" i="4"/>
  <c r="AA14" i="4"/>
  <c r="P15" i="4"/>
  <c r="P16" i="4"/>
  <c r="P17" i="4"/>
  <c r="P14" i="4"/>
  <c r="Z12" i="4"/>
  <c r="Z13" i="4"/>
  <c r="Z11" i="4"/>
  <c r="O12" i="4"/>
  <c r="O13" i="4"/>
  <c r="O11" i="4"/>
  <c r="AA7" i="4"/>
  <c r="AO6" i="4"/>
  <c r="AA5" i="4"/>
  <c r="N8" i="4"/>
  <c r="N7" i="4"/>
  <c r="N5" i="4"/>
  <c r="E6" i="4"/>
  <c r="AF3" i="1"/>
  <c r="F33" i="4" s="1"/>
  <c r="A6" i="4"/>
  <c r="L3" i="1"/>
  <c r="AO7" i="4" s="1"/>
</calcChain>
</file>

<file path=xl/sharedStrings.xml><?xml version="1.0" encoding="utf-8"?>
<sst xmlns="http://schemas.openxmlformats.org/spreadsheetml/2006/main" count="795" uniqueCount="526">
  <si>
    <t>NDE</t>
  </si>
  <si>
    <t>DE</t>
  </si>
  <si>
    <t>ACS</t>
  </si>
  <si>
    <t>CS</t>
  </si>
  <si>
    <t>VIBRATION RESULT</t>
  </si>
  <si>
    <t>TASK CATEGORY</t>
  </si>
  <si>
    <t>NOISE</t>
  </si>
  <si>
    <t>VIBRATION</t>
  </si>
  <si>
    <t>MOTOR</t>
  </si>
  <si>
    <t>EQUIPMENT</t>
  </si>
  <si>
    <t>MOTOR CURRENT</t>
  </si>
  <si>
    <t>FLOW RATE</t>
  </si>
  <si>
    <t>PRESSURE</t>
  </si>
  <si>
    <t>ATTENDS NAME</t>
  </si>
  <si>
    <t>DATE</t>
  </si>
  <si>
    <t xml:space="preserve">RECOMMENDATION 
(What is your idea to improve this machine) </t>
  </si>
  <si>
    <t xml:space="preserve">COUNTER MEASURE
(How to prevent it) </t>
  </si>
  <si>
    <t xml:space="preserve">NEXT ACTION
(How to solve it) </t>
  </si>
  <si>
    <t xml:space="preserve">CAUSE
(Why this happened) </t>
  </si>
  <si>
    <t xml:space="preserve">CONTENT
(Kind of inspection) </t>
  </si>
  <si>
    <t xml:space="preserve">PHENOMENA
(What happen) </t>
  </si>
  <si>
    <t xml:space="preserve">INSPECTOR (Name) </t>
  </si>
  <si>
    <t xml:space="preserve">INSPECTOR (Person) </t>
  </si>
  <si>
    <t>REPAIR HOUR</t>
  </si>
  <si>
    <t>DATE OF REPAIR FINISH</t>
  </si>
  <si>
    <t>DATE OF REPAIR START</t>
  </si>
  <si>
    <t>MRS No.</t>
  </si>
  <si>
    <t>PROBLEM TITLE AT REQUEST SLIP</t>
  </si>
  <si>
    <t>EQUIPMENT NAME</t>
  </si>
  <si>
    <t>TAG NO</t>
  </si>
  <si>
    <t>PLANT</t>
  </si>
  <si>
    <t xml:space="preserve">PHENOMENA
(Note) </t>
  </si>
  <si>
    <t xml:space="preserve">CONTENT - PART
(Kind of inspection) </t>
  </si>
  <si>
    <t xml:space="preserve">CONTENT - ACTION
(Kind of inspection) </t>
  </si>
  <si>
    <t xml:space="preserve">CONTENT - NOTE
(Kind of inspection) </t>
  </si>
  <si>
    <t xml:space="preserve">DETAIL CAUSE </t>
  </si>
  <si>
    <t xml:space="preserve">CAUSE - DIRECT CAUSE
(Why this happened) </t>
  </si>
  <si>
    <t xml:space="preserve">CAUSE - ROOT CAUSE
(Why this happened) </t>
  </si>
  <si>
    <t>DETAIL ROOT CAUSE</t>
  </si>
  <si>
    <t>Action</t>
  </si>
  <si>
    <t>Cause</t>
  </si>
  <si>
    <t>Phenomena:</t>
  </si>
  <si>
    <t>part/equipments</t>
  </si>
  <si>
    <t>Kind of Inspection/Activity</t>
  </si>
  <si>
    <t>direct cause</t>
  </si>
  <si>
    <t>Root cause</t>
  </si>
  <si>
    <t>STATUS:</t>
  </si>
  <si>
    <t>VISUAL</t>
  </si>
  <si>
    <t>ACTION</t>
  </si>
  <si>
    <t>Plant</t>
  </si>
  <si>
    <t>Number</t>
  </si>
  <si>
    <t>Man (MN):</t>
  </si>
  <si>
    <t>Bad Prevention (BV):</t>
  </si>
  <si>
    <t>GOOD</t>
  </si>
  <si>
    <t>Replace</t>
  </si>
  <si>
    <t>CA-1</t>
  </si>
  <si>
    <t>Nama</t>
  </si>
  <si>
    <t>GENERAL FINDING</t>
  </si>
  <si>
    <t xml:space="preserve">ABNORMAL SOUND </t>
  </si>
  <si>
    <t>AIR FILTER</t>
  </si>
  <si>
    <t>ADJUST</t>
  </si>
  <si>
    <t>Material (ML):</t>
  </si>
  <si>
    <t>Bad Repair (BR):</t>
  </si>
  <si>
    <t>NOT GOOD</t>
  </si>
  <si>
    <t>SATISFACTORY</t>
  </si>
  <si>
    <t>Re-use</t>
  </si>
  <si>
    <t>CA-2</t>
  </si>
  <si>
    <t>Tag equip</t>
  </si>
  <si>
    <t>tahun</t>
  </si>
  <si>
    <t>bulan</t>
  </si>
  <si>
    <t>tanggal</t>
  </si>
  <si>
    <t>nama</t>
  </si>
  <si>
    <t>OVER CURRENT TRIP</t>
  </si>
  <si>
    <t>BASE FRAME</t>
  </si>
  <si>
    <t>CHECK MEGGER</t>
  </si>
  <si>
    <t>Machine (ME):</t>
  </si>
  <si>
    <t>Bad Scheduling (BS):</t>
  </si>
  <si>
    <t>GOOD/NOT GOOD</t>
  </si>
  <si>
    <t>UNSATISFACTORY</t>
  </si>
  <si>
    <t>Recondition</t>
  </si>
  <si>
    <t>CA-3</t>
  </si>
  <si>
    <t>HIGH VIBRATION</t>
  </si>
  <si>
    <t>BEARING</t>
  </si>
  <si>
    <t>CLEANING</t>
  </si>
  <si>
    <t>Method (MD):</t>
  </si>
  <si>
    <t>Bad Inspection (BI):</t>
  </si>
  <si>
    <t>UNACCEPTABLE</t>
  </si>
  <si>
    <t>CA-4</t>
  </si>
  <si>
    <t xml:space="preserve">LOW  PERFOMANCE </t>
  </si>
  <si>
    <t>BEARING MONITOR</t>
  </si>
  <si>
    <t>PENETRANT TEST</t>
  </si>
  <si>
    <t>External (EL):</t>
  </si>
  <si>
    <t>Bad Design (BD):</t>
  </si>
  <si>
    <t>CA-5</t>
  </si>
  <si>
    <t>INTERLOCK TRIP</t>
  </si>
  <si>
    <t>BELT</t>
  </si>
  <si>
    <t>RECONDITION</t>
  </si>
  <si>
    <t>Bad Construction (BC):</t>
  </si>
  <si>
    <t>PWP</t>
  </si>
  <si>
    <t>OVERHEAT</t>
  </si>
  <si>
    <t>BOLT</t>
  </si>
  <si>
    <t>REFILL</t>
  </si>
  <si>
    <t>Process Condition (PC):</t>
  </si>
  <si>
    <t>PVC-1</t>
  </si>
  <si>
    <t>PART LIFETIME</t>
  </si>
  <si>
    <t>CASING</t>
  </si>
  <si>
    <t>REPAIR</t>
  </si>
  <si>
    <t>Miss Operation (MO):</t>
  </si>
  <si>
    <t>PVC-2</t>
  </si>
  <si>
    <t xml:space="preserve">BASE FRAME CORROSION </t>
  </si>
  <si>
    <t>CHAIN</t>
  </si>
  <si>
    <t>REPLACE</t>
  </si>
  <si>
    <t>External (EX):</t>
  </si>
  <si>
    <t>PVC-3</t>
  </si>
  <si>
    <t xml:space="preserve">BEARING ABN SOUND </t>
  </si>
  <si>
    <t>COUPLING</t>
  </si>
  <si>
    <t>VISUAL INSPECTION</t>
  </si>
  <si>
    <t>PVC-4</t>
  </si>
  <si>
    <t>BEARING HIGH TEMP</t>
  </si>
  <si>
    <t>COVER</t>
  </si>
  <si>
    <t>PVC-5</t>
  </si>
  <si>
    <t>POWER TRANS - BELT</t>
  </si>
  <si>
    <t>BELT BROKEN</t>
  </si>
  <si>
    <t>DIAPHRAGM</t>
  </si>
  <si>
    <t>UTL</t>
  </si>
  <si>
    <t>BELT CRACK</t>
  </si>
  <si>
    <t>DRY GAS SEAL</t>
  </si>
  <si>
    <t>TASK CAT</t>
  </si>
  <si>
    <t>Problem CPL Pump</t>
  </si>
  <si>
    <t>VCM-1</t>
  </si>
  <si>
    <t>BELT ABNORMAL NOISE</t>
  </si>
  <si>
    <t>FLANGE</t>
  </si>
  <si>
    <t>CBM</t>
  </si>
  <si>
    <t>Blur</t>
  </si>
  <si>
    <t>VCM-2</t>
  </si>
  <si>
    <t>BELT LOOSE</t>
  </si>
  <si>
    <t>GASKET CASING</t>
  </si>
  <si>
    <t>BM</t>
  </si>
  <si>
    <t>Broken</t>
  </si>
  <si>
    <t>VCM-3</t>
  </si>
  <si>
    <t>PULLEY BROKEN</t>
  </si>
  <si>
    <t>GLAND PACKING</t>
  </si>
  <si>
    <t>MDF</t>
  </si>
  <si>
    <t>Contaminated</t>
  </si>
  <si>
    <t>PULLEY CORROSIVE</t>
  </si>
  <si>
    <t>GREASE</t>
  </si>
  <si>
    <t>TBM</t>
  </si>
  <si>
    <t>Corrosion</t>
  </si>
  <si>
    <t>POWER TRANS - COUPLING</t>
  </si>
  <si>
    <t xml:space="preserve">COUPLING BROKEN </t>
  </si>
  <si>
    <t>IMPELLER</t>
  </si>
  <si>
    <t>CM</t>
  </si>
  <si>
    <t>Crack</t>
  </si>
  <si>
    <t>COUPLING ABNORMAL</t>
  </si>
  <si>
    <t>LABYRINTH SEAL</t>
  </si>
  <si>
    <t>PM</t>
  </si>
  <si>
    <t>Cut off</t>
  </si>
  <si>
    <t>POWER TRANS - CHAIN</t>
  </si>
  <si>
    <t xml:space="preserve">CHAIN BROKEN </t>
  </si>
  <si>
    <t>MECHANICAL SEAL</t>
  </si>
  <si>
    <t>Damage</t>
  </si>
  <si>
    <t xml:space="preserve">CHAIN ABNORMAL </t>
  </si>
  <si>
    <t>Damage At bearing position</t>
  </si>
  <si>
    <t>SAFETY COVER</t>
  </si>
  <si>
    <t>COVER COUPLING BROKEN</t>
  </si>
  <si>
    <t>OIL</t>
  </si>
  <si>
    <t>Damage At oil seal seat</t>
  </si>
  <si>
    <t>COVER ACRYLIC BROKEN</t>
  </si>
  <si>
    <t>OIL FILTER</t>
  </si>
  <si>
    <t>Dark</t>
  </si>
  <si>
    <t>INSULATION BROKEN</t>
  </si>
  <si>
    <t>OIL SEAL</t>
  </si>
  <si>
    <t>Dirty</t>
  </si>
  <si>
    <t xml:space="preserve">BOLT MISSING </t>
  </si>
  <si>
    <t>OUTER MAGNET</t>
  </si>
  <si>
    <t>Error</t>
  </si>
  <si>
    <t>BOLT FRACTURE</t>
  </si>
  <si>
    <t>PULLEY</t>
  </si>
  <si>
    <t>Errosion</t>
  </si>
  <si>
    <t>BOLT LOOSEN</t>
  </si>
  <si>
    <t>REAR CASING</t>
  </si>
  <si>
    <t>Hardened</t>
  </si>
  <si>
    <t>BOLT CORRODED</t>
  </si>
  <si>
    <t>REFRIGERANT</t>
  </si>
  <si>
    <t>Jammed</t>
  </si>
  <si>
    <t>CASING GASKET LEAK</t>
  </si>
  <si>
    <t>ROTOR</t>
  </si>
  <si>
    <t>Overheat</t>
  </si>
  <si>
    <t>CASING CORROSION</t>
  </si>
  <si>
    <t>RUBBER COUPLING</t>
  </si>
  <si>
    <t>Oversize</t>
  </si>
  <si>
    <t>CASING ERROSION</t>
  </si>
  <si>
    <t>SHAFT</t>
  </si>
  <si>
    <t>Pitting</t>
  </si>
  <si>
    <t xml:space="preserve">CASING LEAK </t>
  </si>
  <si>
    <t>SHAFT SLEEVE</t>
  </si>
  <si>
    <t>Plugging</t>
  </si>
  <si>
    <t>SUCTION FLANGE LEAK</t>
  </si>
  <si>
    <t>TUBING/NOZZLE</t>
  </si>
  <si>
    <t>Scratch</t>
  </si>
  <si>
    <t>DISHARGE FLANGE LEAK</t>
  </si>
  <si>
    <t>Worn Out</t>
  </si>
  <si>
    <t>SHAFT SEAL</t>
  </si>
  <si>
    <t>GLAND PACKING LEAK</t>
  </si>
  <si>
    <t>MECHANICAL SEAL LEAK</t>
  </si>
  <si>
    <t>OIL SEAL LEAK</t>
  </si>
  <si>
    <t>Good</t>
  </si>
  <si>
    <t>LABYRINTH SEAL LEAK</t>
  </si>
  <si>
    <t>Not Good</t>
  </si>
  <si>
    <t>DRY GAS SEAL LEAK</t>
  </si>
  <si>
    <t xml:space="preserve">IMPELLER ABNORMAL </t>
  </si>
  <si>
    <t xml:space="preserve">OIL CONTAMINATION </t>
  </si>
  <si>
    <t xml:space="preserve">OIL LEVEL LOW </t>
  </si>
  <si>
    <t xml:space="preserve">OIL LINE LEAK </t>
  </si>
  <si>
    <t>SHAFT JAMMED</t>
  </si>
  <si>
    <t xml:space="preserve">SHAFT BENDING </t>
  </si>
  <si>
    <t>SEALING LINE</t>
  </si>
  <si>
    <t xml:space="preserve">SEALING LINE LEAK </t>
  </si>
  <si>
    <t xml:space="preserve">SEALING LINE BLOCKAGE </t>
  </si>
  <si>
    <t>EVAPORATOR</t>
  </si>
  <si>
    <t>EVAPORATOR LEAK</t>
  </si>
  <si>
    <t>CONDENSOR LEAK</t>
  </si>
  <si>
    <t>PROJECT</t>
  </si>
  <si>
    <t xml:space="preserve">PROJECT REPLACE UNIT </t>
  </si>
  <si>
    <t xml:space="preserve">PROJECT DEMOLISH UNIT </t>
  </si>
  <si>
    <t xml:space="preserve">PROJECT INSTALL UNIT </t>
  </si>
  <si>
    <t>RESULT OF TEST RUN DATE</t>
  </si>
  <si>
    <t>ATTENDS NAME PROCESS</t>
  </si>
  <si>
    <t>ATTENDS NAME ROTARY</t>
  </si>
  <si>
    <t>EQUIPMENT (VIBRATION)</t>
  </si>
  <si>
    <t>MOTOR (VIBRATION)</t>
  </si>
  <si>
    <t>MOTOR (NOISE)</t>
  </si>
  <si>
    <t>CS (TEMPERATURE)</t>
  </si>
  <si>
    <t>CS (VIBRATION - VERTICAL)</t>
  </si>
  <si>
    <t>CS (VIBRATION - HORIZONTAL)</t>
  </si>
  <si>
    <t>ACS (TEMPERATURE)</t>
  </si>
  <si>
    <t>ACS (VIBRATION - VERTICAL)</t>
  </si>
  <si>
    <t>ACS (VIBRATION - HORIZONTAL)</t>
  </si>
  <si>
    <t>DE (TEMPERATURE)</t>
  </si>
  <si>
    <t>DE (VIBRATION - VERTICAL)</t>
  </si>
  <si>
    <t>DE (VIBRATION - HORIZONTAL)</t>
  </si>
  <si>
    <t>NDE (TEMPERATURE)</t>
  </si>
  <si>
    <t>NDE (VIBRATION - VERTICAL)</t>
  </si>
  <si>
    <t>NDE (VIBRATION - HORIZONTAL)</t>
  </si>
  <si>
    <t>Rotary Maintenance Department</t>
  </si>
  <si>
    <t xml:space="preserve"> No.</t>
  </si>
  <si>
    <t>:</t>
  </si>
  <si>
    <t>FRM-MRT-4115</t>
  </si>
  <si>
    <t xml:space="preserve"> Rev.</t>
  </si>
  <si>
    <t>SUMMARY OF INSPECTION SHEET</t>
  </si>
  <si>
    <t xml:space="preserve"> Date</t>
  </si>
  <si>
    <t>June 25, 2026</t>
  </si>
  <si>
    <t xml:space="preserve"> Page</t>
  </si>
  <si>
    <t>of</t>
  </si>
  <si>
    <t>DATE OF REPAIR</t>
  </si>
  <si>
    <t>START</t>
  </si>
  <si>
    <t xml:space="preserve">MAN HOUR </t>
  </si>
  <si>
    <t>FINISH</t>
  </si>
  <si>
    <t xml:space="preserve">(Person x Repair Hour) </t>
  </si>
  <si>
    <t>Farhan + 1 MP</t>
  </si>
  <si>
    <t xml:space="preserve">Note: </t>
  </si>
  <si>
    <t>Part:</t>
  </si>
  <si>
    <t>Action:</t>
  </si>
  <si>
    <t xml:space="preserve">Direct Cause </t>
  </si>
  <si>
    <t xml:space="preserve">Root Cause </t>
  </si>
  <si>
    <t xml:space="preserve">  Detail Cause:</t>
  </si>
  <si>
    <t>RESULT
OF
TEST RUN</t>
  </si>
  <si>
    <t>kg/cm2</t>
  </si>
  <si>
    <t>m3/hr</t>
  </si>
  <si>
    <t xml:space="preserve">A </t>
  </si>
  <si>
    <t xml:space="preserve">Vibration result : </t>
  </si>
  <si>
    <t xml:space="preserve">T </t>
  </si>
  <si>
    <t>V</t>
  </si>
  <si>
    <t xml:space="preserve">H </t>
  </si>
  <si>
    <t>A</t>
  </si>
  <si>
    <t xml:space="preserve"> REMARKS </t>
  </si>
  <si>
    <t>REPLACEMENT PARTS</t>
  </si>
  <si>
    <t>NO</t>
  </si>
  <si>
    <t>PARTS NAME</t>
  </si>
  <si>
    <t>QTY</t>
  </si>
  <si>
    <t>MODIFY</t>
  </si>
  <si>
    <t>NEW TYPE / MATERIAL</t>
  </si>
  <si>
    <t>REMARK</t>
  </si>
  <si>
    <t>Y/N</t>
  </si>
  <si>
    <t xml:space="preserve"> NOTE :</t>
  </si>
  <si>
    <t>ACCEPTED</t>
  </si>
  <si>
    <t>ACKNOWLEDGED</t>
  </si>
  <si>
    <t>CHECKED</t>
  </si>
  <si>
    <t>WRITTEN</t>
  </si>
  <si>
    <t xml:space="preserve">MAN HOUR (Person  Repair Hour) </t>
  </si>
  <si>
    <t xml:space="preserve">NET ACTION
(How to solve it) </t>
  </si>
  <si>
    <t>EQUIPMENT (NOISE)</t>
  </si>
  <si>
    <t>CS (VIBRATION - AXIAL)</t>
  </si>
  <si>
    <t>ACS (VIBRATION - AXIAL)</t>
  </si>
  <si>
    <t>DE (VIBRATION - AXIAL)</t>
  </si>
  <si>
    <t>NDE (VIBRATION - AXIAL)</t>
  </si>
  <si>
    <t>REMARK TEST RUN</t>
  </si>
  <si>
    <t>NAMA</t>
  </si>
  <si>
    <t>PROCESS :</t>
  </si>
  <si>
    <t>ROTARY :</t>
  </si>
  <si>
    <t>TEST RUN FULL CLOSE (Centrifugal Pump)</t>
  </si>
  <si>
    <t>PRESUURE</t>
  </si>
  <si>
    <t>CPL - MRT - 4202</t>
  </si>
  <si>
    <t>Detailed Inspection Sheet</t>
  </si>
  <si>
    <t>2</t>
  </si>
  <si>
    <t>CENTRIFUGAL PUMP</t>
  </si>
  <si>
    <t>September 08, 2009</t>
  </si>
  <si>
    <t xml:space="preserve">INSPECTION </t>
  </si>
  <si>
    <t>CONDITION</t>
  </si>
  <si>
    <t>UNIT</t>
  </si>
  <si>
    <t>STANDARD</t>
  </si>
  <si>
    <t xml:space="preserve">ACTION </t>
  </si>
  <si>
    <t>ITEM</t>
  </si>
  <si>
    <t>BAD</t>
  </si>
  <si>
    <t>AFTER</t>
  </si>
  <si>
    <t>BEFORE</t>
  </si>
  <si>
    <t>Drive and Bearing</t>
  </si>
  <si>
    <t>Axial clrnc</t>
  </si>
  <si>
    <t>mm</t>
  </si>
  <si>
    <t xml:space="preserve">Non Drive Bearing </t>
  </si>
  <si>
    <t>Radial clrnc:</t>
  </si>
  <si>
    <t>Impeller</t>
  </si>
  <si>
    <t>diameter</t>
  </si>
  <si>
    <t>Casing</t>
  </si>
  <si>
    <t xml:space="preserve">Gap to impeller </t>
  </si>
  <si>
    <t>*fill in the gap data if open/semi-open impeller type</t>
  </si>
  <si>
    <t>Flushing/Quenching</t>
  </si>
  <si>
    <t>Bearing Housing</t>
  </si>
  <si>
    <r>
      <t>ID 0</t>
    </r>
    <r>
      <rPr>
        <sz val="8"/>
        <color indexed="8"/>
        <rFont val="Book Antiqua"/>
        <family val="1"/>
      </rPr>
      <t>º</t>
    </r>
  </si>
  <si>
    <t>- DE (coupl side)</t>
  </si>
  <si>
    <t>ID 90º</t>
  </si>
  <si>
    <t>- NDE (anti coupl)</t>
  </si>
  <si>
    <t>ID 0º</t>
  </si>
  <si>
    <t>Mechaseal :</t>
  </si>
  <si>
    <t>- Mating /Seal Ring</t>
  </si>
  <si>
    <t>- V-Packing / O-Ring</t>
  </si>
  <si>
    <t>- Spring &amp; collar</t>
  </si>
  <si>
    <t>- Bellows</t>
  </si>
  <si>
    <t>Gland Packing</t>
  </si>
  <si>
    <t>- Stuffing box</t>
  </si>
  <si>
    <t>- Lantern ring</t>
  </si>
  <si>
    <t>Shaft Sleeve</t>
  </si>
  <si>
    <t>OD:</t>
  </si>
  <si>
    <t>Gland bush</t>
  </si>
  <si>
    <t>ID:</t>
  </si>
  <si>
    <t>Clearance:</t>
  </si>
  <si>
    <t>General:</t>
  </si>
  <si>
    <t>0.6 mm</t>
  </si>
  <si>
    <t>Oil seal</t>
  </si>
  <si>
    <t>Shaft</t>
  </si>
  <si>
    <t xml:space="preserve">Run out: </t>
  </si>
  <si>
    <t>Wear Ring</t>
  </si>
  <si>
    <t>OD impeller side</t>
  </si>
  <si>
    <t>ID casing side</t>
  </si>
  <si>
    <t>V-belts</t>
  </si>
  <si>
    <t>Tension:</t>
  </si>
  <si>
    <t>kgf/</t>
  </si>
  <si>
    <t>Pulley</t>
  </si>
  <si>
    <t>Alignment</t>
  </si>
  <si>
    <t>less than</t>
  </si>
  <si>
    <r>
      <t>9tan (</t>
    </r>
    <r>
      <rPr>
        <sz val="8"/>
        <color indexed="8"/>
        <rFont val="Book Antiqua"/>
        <family val="1"/>
      </rPr>
      <t>β</t>
    </r>
    <r>
      <rPr>
        <sz val="8"/>
        <color indexed="8"/>
        <rFont val="Arial"/>
        <family val="2"/>
      </rPr>
      <t>)), x/y =</t>
    </r>
  </si>
  <si>
    <r>
      <t>tan (1/3</t>
    </r>
    <r>
      <rPr>
        <sz val="8"/>
        <color indexed="8"/>
        <rFont val="Book Antiqua"/>
        <family val="1"/>
      </rPr>
      <t>°</t>
    </r>
    <r>
      <rPr>
        <sz val="8"/>
        <color indexed="8"/>
        <rFont val="Arial"/>
        <family val="2"/>
      </rPr>
      <t xml:space="preserve"> (20') )</t>
    </r>
  </si>
  <si>
    <t>=</t>
  </si>
  <si>
    <t>………………</t>
  </si>
  <si>
    <t>Coupling</t>
  </si>
  <si>
    <t xml:space="preserve">- Rubber &amp; Bolt </t>
  </si>
  <si>
    <t>/100 mm</t>
  </si>
  <si>
    <t>- Disk element</t>
  </si>
  <si>
    <t>- Hub</t>
  </si>
  <si>
    <t>Lub oil / grease</t>
  </si>
  <si>
    <t xml:space="preserve">Sight Glass </t>
  </si>
  <si>
    <t>Other:</t>
  </si>
  <si>
    <t>INSPECTION PHOTOGRAPH</t>
  </si>
  <si>
    <t>The table below shows the photograph during inspection:</t>
  </si>
  <si>
    <t>PARTS INSPECTION PHOTOGRAPH</t>
  </si>
  <si>
    <t>NOTES</t>
  </si>
  <si>
    <t>Jan 20 2021</t>
  </si>
  <si>
    <t>TUTORIAL ONLINE INSPECTION REPORT</t>
  </si>
  <si>
    <t>PLANT:</t>
  </si>
  <si>
    <t>TAG NO:</t>
  </si>
  <si>
    <t>PROBLEM TITLE</t>
  </si>
  <si>
    <t>ABNORMAL SOUND</t>
  </si>
  <si>
    <t>PU-1502-A</t>
  </si>
  <si>
    <t>CHLORINE WATER PUMP</t>
  </si>
  <si>
    <t>AT REQUEST SLIP</t>
  </si>
  <si>
    <t>A.</t>
  </si>
  <si>
    <t>PETUNJUK PENGISIAN 'SUMMARY INSPECTION REPORT'</t>
  </si>
  <si>
    <t>B.</t>
  </si>
  <si>
    <t>PETUNJUK PENYIMPANAN DAN ALUR APPROVAL/REVISION</t>
  </si>
  <si>
    <t xml:space="preserve">29-02-2060 </t>
  </si>
  <si>
    <t>8 H</t>
  </si>
  <si>
    <t>24 H</t>
  </si>
  <si>
    <t>1.</t>
  </si>
  <si>
    <t>Area yang di-highlight kuning boleh diisi dengan tulisan free-text sesuai contoh</t>
  </si>
  <si>
    <r>
      <t>Buka file '</t>
    </r>
    <r>
      <rPr>
        <b/>
        <sz val="11"/>
        <rFont val="Arial Narrow"/>
        <family val="2"/>
      </rPr>
      <t>Inspection Report Online Template (Read Only)</t>
    </r>
    <r>
      <rPr>
        <sz val="11"/>
        <rFont val="Arial Narrow"/>
        <family val="2"/>
      </rPr>
      <t xml:space="preserve">' di </t>
    </r>
    <r>
      <rPr>
        <b/>
        <sz val="11"/>
        <color rgb="FFFF0000"/>
        <rFont val="Arial Narrow"/>
        <family val="2"/>
      </rPr>
      <t>Box\TEMPORARY\000 Online Inspection Report (Trial)</t>
    </r>
  </si>
  <si>
    <t xml:space="preserve">INSPECTOR (person) </t>
  </si>
  <si>
    <t>RAMA, HAVIT, 2 MPS</t>
  </si>
  <si>
    <t>Prsn x Repair Hrs</t>
  </si>
  <si>
    <t>2.</t>
  </si>
  <si>
    <t>Bagian yang biru harus diisi mengikuti drop down list</t>
  </si>
  <si>
    <r>
      <t>Klik '</t>
    </r>
    <r>
      <rPr>
        <b/>
        <sz val="11"/>
        <rFont val="Arial Narrow"/>
        <family val="2"/>
      </rPr>
      <t>File</t>
    </r>
    <r>
      <rPr>
        <sz val="11"/>
        <rFont val="Arial Narrow"/>
        <family val="2"/>
      </rPr>
      <t>' kemudian '</t>
    </r>
    <r>
      <rPr>
        <b/>
        <sz val="11"/>
        <rFont val="Arial Narrow"/>
        <family val="2"/>
      </rPr>
      <t>Save As</t>
    </r>
    <r>
      <rPr>
        <sz val="11"/>
        <rFont val="Arial Narrow"/>
        <family val="2"/>
      </rPr>
      <t>', simpan file di folder masing-masing.</t>
    </r>
  </si>
  <si>
    <t xml:space="preserve">PHENOMENA (what happen) </t>
  </si>
  <si>
    <t>Notes:</t>
  </si>
  <si>
    <t>3.</t>
  </si>
  <si>
    <t>Jika ada item yang tidak tercantum di list, mohon diinformasikan ke PIC Report per Plant (akan didiskusikan untuk penambahan list)</t>
  </si>
  <si>
    <r>
      <t xml:space="preserve">Isi Summary Inspection Report sesuai petunjuk di </t>
    </r>
    <r>
      <rPr>
        <b/>
        <sz val="11"/>
        <rFont val="Arial Narrow"/>
        <family val="2"/>
      </rPr>
      <t>bagian A</t>
    </r>
  </si>
  <si>
    <t xml:space="preserve">COUPLING BROKEN = RUBBER </t>
  </si>
  <si>
    <t>4.</t>
  </si>
  <si>
    <t>Jika perlu mencantumkan detail informasi lainnya, dapat diisi di bagian "Notes:"</t>
  </si>
  <si>
    <r>
      <t>Jika sudah lengkap, Klik 'C</t>
    </r>
    <r>
      <rPr>
        <b/>
        <sz val="11"/>
        <rFont val="Arial Narrow"/>
        <family val="2"/>
      </rPr>
      <t>trl + P</t>
    </r>
    <r>
      <rPr>
        <sz val="11"/>
        <rFont val="Arial Narrow"/>
        <family val="2"/>
      </rPr>
      <t>' kemudian atur settingan sesuai gambar berikut:</t>
    </r>
  </si>
  <si>
    <t>5.</t>
  </si>
  <si>
    <r>
      <t>Bagian '</t>
    </r>
    <r>
      <rPr>
        <b/>
        <sz val="11"/>
        <rFont val="Arial Narrow"/>
        <family val="2"/>
      </rPr>
      <t>PHENOMENA</t>
    </r>
    <r>
      <rPr>
        <sz val="11"/>
        <rFont val="Arial Narrow"/>
        <family val="2"/>
      </rPr>
      <t>' diisi dengan "Type of Equiment / Part of Equipment  + Phenomena"</t>
    </r>
  </si>
  <si>
    <t>-</t>
  </si>
  <si>
    <r>
      <t xml:space="preserve">Printer </t>
    </r>
    <r>
      <rPr>
        <sz val="11"/>
        <rFont val="Arial Narrow"/>
        <family val="2"/>
      </rPr>
      <t>= 'Microsoft Print to PDF'</t>
    </r>
  </si>
  <si>
    <t xml:space="preserve">CONTENT (kind of inspection) </t>
  </si>
  <si>
    <t>Jika ada temuan yg non-reguler = pilih "Others:", lalu tambahkan deskripsi di "Notes"</t>
  </si>
  <si>
    <r>
      <t xml:space="preserve">Setting </t>
    </r>
    <r>
      <rPr>
        <sz val="11"/>
        <rFont val="Arial Narrow"/>
        <family val="2"/>
      </rPr>
      <t>= 'Print Entire Workbook'</t>
    </r>
  </si>
  <si>
    <t>RUBBER COUPLING NEW = 2 PCS</t>
  </si>
  <si>
    <t>6.</t>
  </si>
  <si>
    <r>
      <t>Bagian '</t>
    </r>
    <r>
      <rPr>
        <b/>
        <sz val="11"/>
        <rFont val="Arial Narrow"/>
        <family val="2"/>
      </rPr>
      <t>CONTENT</t>
    </r>
    <r>
      <rPr>
        <sz val="11"/>
        <rFont val="Arial Narrow"/>
        <family val="2"/>
      </rPr>
      <t>' diisi dengan "Part of Equipment / Detail of Part   + Kind of Inspection or Maintenance Activity"</t>
    </r>
  </si>
  <si>
    <r>
      <t xml:space="preserve">Pages </t>
    </r>
    <r>
      <rPr>
        <sz val="11"/>
        <rFont val="Arial Narrow"/>
        <family val="2"/>
      </rPr>
      <t>= 2-4 (default jika report lengkap);</t>
    </r>
    <r>
      <rPr>
        <i/>
        <sz val="11"/>
        <color rgb="FFFF0000"/>
        <rFont val="Arial Narrow"/>
        <family val="2"/>
      </rPr>
      <t xml:space="preserve"> sesuaikan dengan kebutuhan</t>
    </r>
  </si>
  <si>
    <t xml:space="preserve">EX-USE PU-1503-A = 2 PCS </t>
  </si>
  <si>
    <t>Detail informasi dapat ditambahkan di "Notes" (seperti contoh)</t>
  </si>
  <si>
    <r>
      <t>Lalu Klik '</t>
    </r>
    <r>
      <rPr>
        <b/>
        <sz val="11"/>
        <rFont val="Arial Narrow"/>
        <family val="2"/>
      </rPr>
      <t>PRINT</t>
    </r>
    <r>
      <rPr>
        <sz val="11"/>
        <rFont val="Arial Narrow"/>
        <family val="2"/>
      </rPr>
      <t>'</t>
    </r>
  </si>
  <si>
    <t>7.</t>
  </si>
  <si>
    <r>
      <t>Bagian '</t>
    </r>
    <r>
      <rPr>
        <b/>
        <sz val="11"/>
        <rFont val="Arial Narrow"/>
        <family val="2"/>
      </rPr>
      <t>CAUSE</t>
    </r>
    <r>
      <rPr>
        <sz val="11"/>
        <rFont val="Arial Narrow"/>
        <family val="2"/>
      </rPr>
      <t>' diisi dengan sesuai list 'Direct Cause' dan 'Root Cause'</t>
    </r>
  </si>
  <si>
    <t>Berikan nama file sesuai format berikut:</t>
  </si>
  <si>
    <r>
      <rPr>
        <b/>
        <sz val="11"/>
        <rFont val="Arial Narrow"/>
        <family val="2"/>
      </rPr>
      <t>Direct Cause</t>
    </r>
    <r>
      <rPr>
        <sz val="11"/>
        <rFont val="Arial Narrow"/>
        <family val="2"/>
      </rPr>
      <t xml:space="preserve"> = Kenapa 'PHENOMENA' terjadi ? (pada contoh, 'Kenapa High Vibration dan Bearing Abnormal Sound', karena 'BEARING DAMAGE (OIL CONTAMINATION))'</t>
    </r>
  </si>
  <si>
    <r>
      <rPr>
        <b/>
        <sz val="11"/>
        <color rgb="FF00B050"/>
        <rFont val="Arial Narrow"/>
        <family val="2"/>
      </rPr>
      <t>TAG.NO</t>
    </r>
    <r>
      <rPr>
        <sz val="11"/>
        <rFont val="Arial Narrow"/>
        <family val="2"/>
      </rPr>
      <t>_</t>
    </r>
    <r>
      <rPr>
        <b/>
        <sz val="11"/>
        <rFont val="Arial Narrow"/>
        <family val="2"/>
      </rPr>
      <t>TANGGAL-ACTION</t>
    </r>
    <r>
      <rPr>
        <sz val="11"/>
        <rFont val="Arial Narrow"/>
        <family val="2"/>
      </rPr>
      <t>_</t>
    </r>
    <r>
      <rPr>
        <b/>
        <sz val="11"/>
        <color rgb="FFFF0000"/>
        <rFont val="Arial Narrow"/>
        <family val="2"/>
      </rPr>
      <t>PROBLEM</t>
    </r>
    <r>
      <rPr>
        <sz val="11"/>
        <rFont val="Arial Narrow"/>
        <family val="2"/>
      </rPr>
      <t>_</t>
    </r>
    <r>
      <rPr>
        <b/>
        <sz val="11"/>
        <color rgb="FF00B0F0"/>
        <rFont val="Arial Narrow"/>
        <family val="2"/>
      </rPr>
      <t>NAMA</t>
    </r>
  </si>
  <si>
    <t xml:space="preserve">CAUSE (why this happened) </t>
  </si>
  <si>
    <t>Direct Cause:</t>
  </si>
  <si>
    <t>Root Cause :</t>
  </si>
  <si>
    <t>Contoh:</t>
  </si>
  <si>
    <t>1. BEARING DAMAGE (OIL CONTAMINATION)
2. RUBBER COUPLING DAMAGE</t>
  </si>
  <si>
    <t>1. NO WATER SPLASHER INSTALLED
2. COUPLING MISALIGNMENT</t>
  </si>
  <si>
    <r>
      <rPr>
        <b/>
        <sz val="11"/>
        <rFont val="Arial Narrow"/>
        <family val="2"/>
      </rPr>
      <t>Root Cause</t>
    </r>
    <r>
      <rPr>
        <sz val="11"/>
        <rFont val="Arial Narrow"/>
        <family val="2"/>
      </rPr>
      <t xml:space="preserve"> = Kenapa 'Direct Cause' bisa terjadi ? (pada contoh, 'Kenapa 'BEARING DAMAGE (OIL CONTAMINATION)', karena 'NO WATER SPLASHER INSTALLED' sehingga air masuk ke oil chamber)</t>
    </r>
  </si>
  <si>
    <r>
      <rPr>
        <b/>
        <sz val="11"/>
        <color rgb="FF00B050"/>
        <rFont val="Arial Narrow"/>
        <family val="2"/>
      </rPr>
      <t>PU-1502-B</t>
    </r>
    <r>
      <rPr>
        <b/>
        <sz val="11"/>
        <rFont val="Arial Narrow"/>
        <family val="2"/>
      </rPr>
      <t>_20260220_</t>
    </r>
    <r>
      <rPr>
        <b/>
        <sz val="11"/>
        <color rgb="FFFF0000"/>
        <rFont val="Arial Narrow"/>
        <family val="2"/>
      </rPr>
      <t>ABNORMAL SOUND</t>
    </r>
    <r>
      <rPr>
        <b/>
        <sz val="11"/>
        <rFont val="Arial Narrow"/>
        <family val="2"/>
      </rPr>
      <t>_</t>
    </r>
    <r>
      <rPr>
        <b/>
        <sz val="11"/>
        <color rgb="FF00B0F0"/>
        <rFont val="Arial Narrow"/>
        <family val="2"/>
      </rPr>
      <t>RAMA</t>
    </r>
  </si>
  <si>
    <t>Simpan File di lokasi folder plant masing-masing.</t>
  </si>
  <si>
    <t xml:space="preserve">Next Action (how to solve it) </t>
  </si>
  <si>
    <t>Next Action + Part of Equipment / Detail of Part  + additional notes (optional)</t>
  </si>
  <si>
    <t>8.</t>
  </si>
  <si>
    <r>
      <t>Bagian '</t>
    </r>
    <r>
      <rPr>
        <b/>
        <sz val="11"/>
        <rFont val="Arial Narrow"/>
        <family val="2"/>
      </rPr>
      <t>Next Action</t>
    </r>
    <r>
      <rPr>
        <sz val="11"/>
        <rFont val="Arial Narrow"/>
        <family val="2"/>
      </rPr>
      <t>' diisi dengan follow up action yang perlu dilakukan di next overhaul (format harus sesuai panduan)</t>
    </r>
  </si>
  <si>
    <r>
      <t xml:space="preserve">Contoh: </t>
    </r>
    <r>
      <rPr>
        <b/>
        <sz val="11"/>
        <color rgb="FFFF0000"/>
        <rFont val="Arial Narrow"/>
        <family val="2"/>
      </rPr>
      <t>CA-Plant</t>
    </r>
  </si>
  <si>
    <t>1. REPLACE RUBBER COUPLING IF SPAREPART READY
2. REBUSHING / COATING SHAFT IN OIL SEAL POSITION (IN THIS REPAIR = ONLY MOVE POSITION)
2. REBUSHING BEARING HOUSING (ALREADY REACH THE MAX TOLERANCE LIMIT)</t>
  </si>
  <si>
    <t>9.</t>
  </si>
  <si>
    <r>
      <t>Bagian '</t>
    </r>
    <r>
      <rPr>
        <b/>
        <sz val="11"/>
        <rFont val="Arial Narrow"/>
        <family val="2"/>
      </rPr>
      <t>Counter measure</t>
    </r>
    <r>
      <rPr>
        <sz val="11"/>
        <rFont val="Arial Narrow"/>
        <family val="2"/>
      </rPr>
      <t xml:space="preserve">' diisi dengan aksi yang </t>
    </r>
    <r>
      <rPr>
        <b/>
        <u/>
        <sz val="11"/>
        <rFont val="Arial Narrow"/>
        <family val="2"/>
      </rPr>
      <t>telah</t>
    </r>
    <r>
      <rPr>
        <sz val="11"/>
        <rFont val="Arial Narrow"/>
        <family val="2"/>
      </rPr>
      <t xml:space="preserve"> dilakukan untuk mencegah '</t>
    </r>
    <r>
      <rPr>
        <b/>
        <sz val="11"/>
        <rFont val="Arial Narrow"/>
        <family val="2"/>
      </rPr>
      <t>Root Cause</t>
    </r>
    <r>
      <rPr>
        <sz val="11"/>
        <rFont val="Arial Narrow"/>
        <family val="2"/>
      </rPr>
      <t>' terjadi lagi (format harus sesuai panduan)</t>
    </r>
  </si>
  <si>
    <r>
      <t>Box\TEMPORARY\000 Online Inspection Report (Trial)\</t>
    </r>
    <r>
      <rPr>
        <b/>
        <sz val="11"/>
        <color rgb="FFFF0000"/>
        <rFont val="Arial Narrow"/>
        <family val="2"/>
      </rPr>
      <t>CA Plant</t>
    </r>
    <r>
      <rPr>
        <b/>
        <sz val="11"/>
        <rFont val="Arial Narrow"/>
        <family val="2"/>
      </rPr>
      <t>\1. Report Teknisi (initial and Revised)</t>
    </r>
  </si>
  <si>
    <t>10.</t>
  </si>
  <si>
    <r>
      <t>Bagian '</t>
    </r>
    <r>
      <rPr>
        <b/>
        <sz val="11"/>
        <rFont val="Arial Narrow"/>
        <family val="2"/>
      </rPr>
      <t>RECOMMENDATION</t>
    </r>
    <r>
      <rPr>
        <sz val="11"/>
        <rFont val="Arial Narrow"/>
        <family val="2"/>
      </rPr>
      <t>' diisi dengan ide improvement yang dapat dilakukan untuk meningkatkan kualitas mesin</t>
    </r>
  </si>
  <si>
    <t>Report dari Teknisi akan di-check oleh Staff PIC per plant.</t>
  </si>
  <si>
    <t>11.</t>
  </si>
  <si>
    <r>
      <t>Bagian '</t>
    </r>
    <r>
      <rPr>
        <b/>
        <sz val="11"/>
        <rFont val="Arial Narrow"/>
        <family val="2"/>
      </rPr>
      <t>RESULT OF TEST RUN</t>
    </r>
    <r>
      <rPr>
        <sz val="11"/>
        <rFont val="Arial Narrow"/>
        <family val="2"/>
      </rPr>
      <t>' diisi sesuai hasil test-run (lihat lampiran)</t>
    </r>
  </si>
  <si>
    <r>
      <t xml:space="preserve">Jika Approved akan disimpan di '2. </t>
    </r>
    <r>
      <rPr>
        <b/>
        <sz val="11"/>
        <rFont val="Arial Narrow"/>
        <family val="2"/>
      </rPr>
      <t>Approved by Staff</t>
    </r>
    <r>
      <rPr>
        <sz val="11"/>
        <rFont val="Arial Narrow"/>
        <family val="2"/>
      </rPr>
      <t>'</t>
    </r>
  </si>
  <si>
    <t xml:space="preserve">Counter measure (How to prevent it) </t>
  </si>
  <si>
    <t>Countermeasure Action + Part of Equipment / Detail of Part  + additional notes (optional)</t>
  </si>
  <si>
    <r>
      <t>Khusus untuk bagian '</t>
    </r>
    <r>
      <rPr>
        <b/>
        <sz val="11"/>
        <rFont val="Arial Narrow"/>
        <family val="2"/>
      </rPr>
      <t>Vibration Result</t>
    </r>
    <r>
      <rPr>
        <sz val="11"/>
        <rFont val="Arial Narrow"/>
        <family val="2"/>
      </rPr>
      <t>', mengikuti standard common centrifugal pump. Untuk special equipment, silakan konfirmasi ke tim monitoring</t>
    </r>
  </si>
  <si>
    <r>
      <t>Jika perlu revisi akan disimpan di folder '</t>
    </r>
    <r>
      <rPr>
        <b/>
        <sz val="11"/>
        <rFont val="Arial Narrow"/>
        <family val="2"/>
      </rPr>
      <t>4. Need to be Revised</t>
    </r>
    <r>
      <rPr>
        <sz val="11"/>
        <rFont val="Arial Narrow"/>
        <family val="2"/>
      </rPr>
      <t>'</t>
    </r>
  </si>
  <si>
    <t xml:space="preserve">INSTALL WATER SPLASHER 
</t>
  </si>
  <si>
    <t>Staff bertanggung jawab untuk melakukan follow-up ke Section Chief terkait report yang sudah 'approved by staff'</t>
  </si>
  <si>
    <t>12.</t>
  </si>
  <si>
    <r>
      <t>Bagian '</t>
    </r>
    <r>
      <rPr>
        <b/>
        <sz val="11"/>
        <rFont val="Arial Narrow"/>
        <family val="2"/>
      </rPr>
      <t>REMARKS</t>
    </r>
    <r>
      <rPr>
        <sz val="11"/>
        <rFont val="Arial Narrow"/>
        <family val="2"/>
      </rPr>
      <t>' diisi data full close (penting untuk analisa performa)</t>
    </r>
  </si>
  <si>
    <t xml:space="preserve">RECOMMENDATION (what is your idea to improve this machine) </t>
  </si>
  <si>
    <t>CHANGE MECHANICAL SEAL TYPE TO EXTERNAL MOUNTING (MORE RELIABLE) TO PREVENT FREQUENT LEAK</t>
  </si>
  <si>
    <r>
      <t>Jika ada hal lain yang perlu diinformasikan, tulis di '</t>
    </r>
    <r>
      <rPr>
        <b/>
        <sz val="11"/>
        <rFont val="Arial Narrow"/>
        <family val="2"/>
      </rPr>
      <t>Other Remarks'</t>
    </r>
  </si>
  <si>
    <t>Section Chief akan melakukan review final untuk report tersebut.</t>
  </si>
  <si>
    <t>13.</t>
  </si>
  <si>
    <r>
      <t>Bagian '</t>
    </r>
    <r>
      <rPr>
        <b/>
        <sz val="11"/>
        <rFont val="Arial Narrow"/>
        <family val="2"/>
      </rPr>
      <t>REPLACEMENT PARTS</t>
    </r>
    <r>
      <rPr>
        <sz val="11"/>
        <rFont val="Arial Narrow"/>
        <family val="2"/>
      </rPr>
      <t>' diisi dengan part-part yang diganti, tuliskan detail spesifikasi dan/atau materialnya (semakin detail lebih bagus)</t>
    </r>
  </si>
  <si>
    <r>
      <t>Jika Approved akan disimpan di Folder '</t>
    </r>
    <r>
      <rPr>
        <b/>
        <sz val="11"/>
        <rFont val="Arial Narrow"/>
        <family val="2"/>
      </rPr>
      <t>3. Approved by SC</t>
    </r>
    <r>
      <rPr>
        <sz val="11"/>
        <rFont val="Arial Narrow"/>
        <family val="2"/>
      </rPr>
      <t>'</t>
    </r>
  </si>
  <si>
    <t>RESULT</t>
  </si>
  <si>
    <t>OWEN</t>
  </si>
  <si>
    <t>ROTARY:</t>
  </si>
  <si>
    <t>HAVIT</t>
  </si>
  <si>
    <t>OF</t>
  </si>
  <si>
    <t>3,1</t>
  </si>
  <si>
    <t>14.</t>
  </si>
  <si>
    <r>
      <t>Bagian '</t>
    </r>
    <r>
      <rPr>
        <b/>
        <sz val="11"/>
        <rFont val="Arial Narrow"/>
        <family val="2"/>
      </rPr>
      <t>NOTES</t>
    </r>
    <r>
      <rPr>
        <sz val="11"/>
        <rFont val="Arial Narrow"/>
        <family val="2"/>
      </rPr>
      <t>' dapat digunakan untuk mencantumkan informasi lain.</t>
    </r>
  </si>
  <si>
    <r>
      <t>Report yang sudah ada di folder '</t>
    </r>
    <r>
      <rPr>
        <b/>
        <sz val="11"/>
        <rFont val="Arial Narrow"/>
        <family val="2"/>
      </rPr>
      <t>Approved by SC</t>
    </r>
    <r>
      <rPr>
        <sz val="11"/>
        <rFont val="Arial Narrow"/>
        <family val="2"/>
      </rPr>
      <t>' akan dipindahkan oleh Admin (Pak Rizki) ke ASC EDB</t>
    </r>
  </si>
  <si>
    <t>TEST RUN</t>
  </si>
  <si>
    <t>15.</t>
  </si>
  <si>
    <r>
      <t>Jangan lupa untuk menuliskan nama penulis di bagian '</t>
    </r>
    <r>
      <rPr>
        <b/>
        <sz val="11"/>
        <rFont val="Arial Narrow"/>
        <family val="2"/>
      </rPr>
      <t>WRITTEN</t>
    </r>
    <r>
      <rPr>
        <sz val="11"/>
        <rFont val="Arial Narrow"/>
        <family val="2"/>
      </rPr>
      <t>' untuk approval report</t>
    </r>
  </si>
  <si>
    <t>Task Category:</t>
  </si>
  <si>
    <t xml:space="preserve">CS </t>
  </si>
  <si>
    <t xml:space="preserve">ACS </t>
  </si>
  <si>
    <t xml:space="preserve">NDE </t>
  </si>
  <si>
    <t>Specific for centrifugal pump (ISO-10816-7). 
for others, please confirm Monitoring team</t>
  </si>
  <si>
    <t>16.</t>
  </si>
  <si>
    <r>
      <t>Report yang memerlukan</t>
    </r>
    <r>
      <rPr>
        <b/>
        <sz val="11"/>
        <rFont val="Arial Narrow"/>
        <family val="2"/>
      </rPr>
      <t xml:space="preserve"> 'Detail Inspection Report' untuk Centrifugal Pump</t>
    </r>
    <r>
      <rPr>
        <sz val="11"/>
        <rFont val="Arial Narrow"/>
        <family val="2"/>
      </rPr>
      <t xml:space="preserve"> dapat diisi di sheet-3</t>
    </r>
  </si>
  <si>
    <t>C.</t>
  </si>
  <si>
    <t>LAMPIRAN</t>
  </si>
  <si>
    <t>Vibration Severity Chart per ISO 10816-7</t>
  </si>
  <si>
    <t>17.</t>
  </si>
  <si>
    <r>
      <t xml:space="preserve">Report yang memerlukan </t>
    </r>
    <r>
      <rPr>
        <b/>
        <sz val="11"/>
        <rFont val="Arial Narrow"/>
        <family val="2"/>
      </rPr>
      <t>'Check Point List (CPL)' equipment lain</t>
    </r>
    <r>
      <rPr>
        <sz val="11"/>
        <rFont val="Arial Narrow"/>
        <family val="2"/>
      </rPr>
      <t>, dokumennya dapat diminta ke Staff terkait.</t>
    </r>
  </si>
  <si>
    <t>Please use Category 1 for our reports</t>
  </si>
  <si>
    <t xml:space="preserve">REMARKS </t>
  </si>
  <si>
    <t>FULL CLOSE DATA:</t>
  </si>
  <si>
    <t>Other Remarks:</t>
  </si>
  <si>
    <t>18.</t>
  </si>
  <si>
    <r>
      <t xml:space="preserve">Lampirankan dokumentasi Inspeksi di </t>
    </r>
    <r>
      <rPr>
        <b/>
        <sz val="11"/>
        <rFont val="Arial Narrow"/>
        <family val="2"/>
      </rPr>
      <t>sheet-4</t>
    </r>
  </si>
  <si>
    <t>N</t>
  </si>
  <si>
    <t>BEARING CS</t>
  </si>
  <si>
    <t>5310 ANR C3</t>
  </si>
  <si>
    <t>BEARING ACS</t>
  </si>
  <si>
    <t>5306 ANR C3</t>
  </si>
  <si>
    <t>RUBBER BOLT F3</t>
  </si>
  <si>
    <t>NEW</t>
  </si>
  <si>
    <t>RUBBER COUPLING (EX)</t>
  </si>
  <si>
    <t>EX-USE PU-1503-AB</t>
  </si>
  <si>
    <t>NOTE :</t>
  </si>
  <si>
    <t>ACKNOW.</t>
  </si>
  <si>
    <t>RAMA</t>
  </si>
  <si>
    <t>✓</t>
  </si>
  <si>
    <t>Alignment:</t>
  </si>
  <si>
    <t xml:space="preserve">Round </t>
  </si>
  <si>
    <r>
      <t>0</t>
    </r>
    <r>
      <rPr>
        <sz val="10"/>
        <color indexed="8"/>
        <rFont val="Calibri"/>
        <family val="2"/>
      </rPr>
      <t>°</t>
    </r>
  </si>
  <si>
    <t>90°</t>
  </si>
  <si>
    <t>180°</t>
  </si>
  <si>
    <t>270°</t>
  </si>
  <si>
    <t>Face</t>
  </si>
  <si>
    <t>REPLACEMENT PARTS NUMBER</t>
  </si>
  <si>
    <t>REPLACEMENT PARTS NAME</t>
  </si>
  <si>
    <t>REPLACEMENT PARTS QTY</t>
  </si>
  <si>
    <t>REPLACEMENT PARTS MODIFY</t>
  </si>
  <si>
    <t>REPLACEMENT PARTS MATERIAL</t>
  </si>
  <si>
    <t>REPLACEMENT PARTS REMARK</t>
  </si>
  <si>
    <t>TEST RUN FULL CLOSE (Centrifugal Pump) PRESSURE</t>
  </si>
  <si>
    <t>TEST RUN FULL CLOSE (Centrifugal Pump) MOTOR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</si>
</sst>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\ &quot;Hour&quot;"/>
    <numFmt numFmtId="165" formatCode="#\ &quot;MH&quot;"/>
    <numFmt numFmtId="166" formatCode="#\ &quot;kg/cm2&quot;"/>
    <numFmt numFmtId="167" formatCode="#\ &quot;m3/h&quot;"/>
    <numFmt numFmtId="168" formatCode="#\ &quot;A&quot;"/>
    <numFmt numFmtId="169" formatCode="[$-409]dd\-mmm\-yy;@"/>
    <numFmt numFmtId="170" formatCode="[$-F800]dddd\,\ mmmm\ dd\,\ yyyy"/>
    <numFmt numFmtId="171" formatCode="[$-409]d\-mmm\-yy;@"/>
    <numFmt numFmtId="172" formatCode="#\ &quot;Person&quot;"/>
    <numFmt numFmtId="173" formatCode="0.0000"/>
  </numFmts>
  <fonts count="5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 Narrow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2"/>
      <name val="Arial Narrow"/>
      <family val="2"/>
    </font>
    <font>
      <b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sz val="12"/>
      <name val="Arial Narrow"/>
      <family val="2"/>
    </font>
    <font>
      <sz val="8"/>
      <name val="Arial Narrow"/>
      <family val="2"/>
    </font>
    <font>
      <i/>
      <sz val="10"/>
      <color theme="0" tint="-0.249977111117893"/>
      <name val="Arial Narrow"/>
      <family val="2"/>
    </font>
    <font>
      <b/>
      <sz val="8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sz val="28"/>
      <name val="Arial Narrow"/>
      <family val="2"/>
    </font>
    <font>
      <sz val="8"/>
      <color rgb="FF000000"/>
      <name val="Segoe UI"/>
      <family val="2"/>
    </font>
    <font>
      <b/>
      <sz val="1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2"/>
      <color indexed="8"/>
      <name val="Bernard MT Condensed"/>
      <family val="1"/>
    </font>
    <font>
      <sz val="7"/>
      <color indexed="8"/>
      <name val="Arial"/>
      <family val="2"/>
    </font>
    <font>
      <sz val="7"/>
      <color theme="2" tint="-0.249977111117893"/>
      <name val="Arial"/>
      <family val="2"/>
    </font>
    <font>
      <sz val="8"/>
      <color indexed="8"/>
      <name val="Book Antiqua"/>
      <family val="1"/>
    </font>
    <font>
      <b/>
      <sz val="8"/>
      <color indexed="8"/>
      <name val="Berlin Sans FB"/>
      <family val="2"/>
    </font>
    <font>
      <sz val="8"/>
      <name val="Arial"/>
      <family val="2"/>
    </font>
    <font>
      <sz val="8"/>
      <color indexed="8"/>
      <name val="Aptos Narrow"/>
      <family val="2"/>
    </font>
    <font>
      <sz val="10"/>
      <color indexed="8"/>
      <name val="Book Antiqua"/>
      <family val="1"/>
    </font>
    <font>
      <b/>
      <sz val="16"/>
      <name val="Arial"/>
      <family val="2"/>
    </font>
    <font>
      <b/>
      <u/>
      <sz val="12"/>
      <name val="Arial Narrow"/>
      <family val="2"/>
    </font>
    <font>
      <sz val="11"/>
      <name val="Arial Narrow"/>
      <family val="2"/>
    </font>
    <font>
      <sz val="11"/>
      <color theme="7" tint="-0.249977111117893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1"/>
      <color rgb="FF00B0F0"/>
      <name val="Arial Narrow"/>
      <family val="2"/>
    </font>
    <font>
      <u/>
      <sz val="10"/>
      <color theme="0" tint="-0.499984740745262"/>
      <name val="Arial Narrow"/>
      <family val="2"/>
    </font>
    <font>
      <i/>
      <sz val="11"/>
      <color rgb="FFFF0000"/>
      <name val="Arial Narrow"/>
      <family val="2"/>
    </font>
    <font>
      <b/>
      <sz val="11"/>
      <color rgb="FF00B050"/>
      <name val="Arial Narrow"/>
      <family val="2"/>
    </font>
    <font>
      <b/>
      <sz val="11"/>
      <color rgb="FF00B0F0"/>
      <name val="Arial Narrow"/>
      <family val="2"/>
    </font>
    <font>
      <u/>
      <sz val="10"/>
      <color theme="0" tint="-0.249977111117893"/>
      <name val="Arial Narrow"/>
      <family val="2"/>
    </font>
    <font>
      <b/>
      <u/>
      <sz val="11"/>
      <name val="Arial Narrow"/>
      <family val="2"/>
    </font>
    <font>
      <sz val="8"/>
      <color theme="0" tint="-0.499984740745262"/>
      <name val="Arial Narrow"/>
      <family val="2"/>
    </font>
    <font>
      <b/>
      <sz val="10"/>
      <color theme="1"/>
      <name val="Arial Narrow"/>
      <family val="2"/>
    </font>
    <font>
      <sz val="10"/>
      <color indexed="8"/>
      <name val="Calibri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gray125">
        <fgColor indexed="8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8"/>
      </left>
      <right/>
      <top style="thin">
        <color indexed="64"/>
      </top>
      <bottom/>
      <diagonal/>
    </border>
    <border>
      <left/>
      <right style="hair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8"/>
      </left>
      <right/>
      <top/>
      <bottom style="medium">
        <color indexed="64"/>
      </bottom>
      <diagonal/>
    </border>
    <border>
      <left/>
      <right style="hair">
        <color indexed="8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theme="0" tint="-0.34998626667073579"/>
      </right>
      <top style="hair">
        <color indexed="64"/>
      </top>
      <bottom/>
      <diagonal/>
    </border>
    <border>
      <left style="hair">
        <color theme="0" tint="-0.34998626667073579"/>
      </left>
      <right/>
      <top style="hair">
        <color indexed="64"/>
      </top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 style="hair">
        <color indexed="64"/>
      </bottom>
      <diagonal/>
    </border>
    <border>
      <left style="hair">
        <color theme="0" tint="-0.34998626667073579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theme="0" tint="-0.34998626667073579"/>
      </bottom>
      <diagonal/>
    </border>
    <border>
      <left/>
      <right/>
      <top style="hair">
        <color indexed="64"/>
      </top>
      <bottom style="hair">
        <color theme="0" tint="-0.34998626667073579"/>
      </bottom>
      <diagonal/>
    </border>
    <border>
      <left/>
      <right style="thin">
        <color indexed="64"/>
      </right>
      <top style="hair">
        <color indexed="64"/>
      </top>
      <bottom style="hair">
        <color theme="0" tint="-0.34998626667073579"/>
      </bottom>
      <diagonal/>
    </border>
    <border>
      <left/>
      <right style="medium">
        <color indexed="64"/>
      </right>
      <top style="hair">
        <color indexed="64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indexed="64"/>
      </top>
      <bottom style="hair">
        <color theme="0" tint="-0.34998626667073579"/>
      </bottom>
      <diagonal/>
    </border>
    <border>
      <left/>
      <right style="hair">
        <color indexed="64"/>
      </right>
      <top style="hair">
        <color indexed="64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indexed="64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thin">
        <color indexed="64"/>
      </top>
      <bottom/>
      <diagonal/>
    </border>
    <border>
      <left style="hair">
        <color theme="0" tint="-0.34998626667073579"/>
      </left>
      <right/>
      <top style="hair">
        <color indexed="64"/>
      </top>
      <bottom style="hair">
        <color indexed="64"/>
      </bottom>
      <diagonal/>
    </border>
    <border>
      <left/>
      <right style="hair">
        <color theme="0" tint="-0.34998626667073579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873">
    <xf numFmtId="0" fontId="0" fillId="0" borderId="0" xfId="0"/>
    <xf numFmtId="0" fontId="3" fillId="2" borderId="0" xfId="1" applyFont="1" applyFill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165" fontId="0" fillId="3" borderId="2" xfId="0" applyNumberFormat="1" applyFill="1" applyBorder="1"/>
    <xf numFmtId="0" fontId="3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166" fontId="0" fillId="0" borderId="5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2" fillId="2" borderId="11" xfId="1" applyFill="1" applyBorder="1" applyAlignment="1">
      <alignment vertical="center"/>
    </xf>
    <xf numFmtId="0" fontId="2" fillId="2" borderId="12" xfId="1" applyFill="1" applyBorder="1" applyAlignment="1">
      <alignment vertical="center"/>
    </xf>
    <xf numFmtId="0" fontId="2" fillId="2" borderId="13" xfId="1" applyFill="1" applyBorder="1" applyAlignment="1">
      <alignment vertical="center"/>
    </xf>
    <xf numFmtId="0" fontId="6" fillId="2" borderId="12" xfId="1" applyFont="1" applyFill="1" applyBorder="1" applyAlignment="1">
      <alignment vertical="center"/>
    </xf>
    <xf numFmtId="0" fontId="6" fillId="2" borderId="12" xfId="1" applyFont="1" applyFill="1" applyBorder="1" applyAlignment="1">
      <alignment horizontal="left" vertical="center"/>
    </xf>
    <xf numFmtId="0" fontId="2" fillId="2" borderId="15" xfId="1" applyFill="1" applyBorder="1" applyAlignment="1">
      <alignment vertical="center"/>
    </xf>
    <xf numFmtId="0" fontId="2" fillId="2" borderId="0" xfId="1" applyFill="1" applyAlignment="1">
      <alignment vertical="center"/>
    </xf>
    <xf numFmtId="0" fontId="2" fillId="2" borderId="16" xfId="1" applyFill="1" applyBorder="1" applyAlignment="1">
      <alignment vertical="center"/>
    </xf>
    <xf numFmtId="0" fontId="2" fillId="2" borderId="17" xfId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left" vertical="center"/>
    </xf>
    <xf numFmtId="0" fontId="6" fillId="2" borderId="0" xfId="1" quotePrefix="1" applyFont="1" applyFill="1" applyAlignment="1">
      <alignment horizontal="left" vertical="center"/>
    </xf>
    <xf numFmtId="0" fontId="6" fillId="2" borderId="0" xfId="1" quotePrefix="1" applyFont="1" applyFill="1" applyAlignment="1">
      <alignment vertical="center"/>
    </xf>
    <xf numFmtId="0" fontId="2" fillId="2" borderId="19" xfId="1" applyFill="1" applyBorder="1" applyAlignment="1">
      <alignment vertical="center"/>
    </xf>
    <xf numFmtId="15" fontId="6" fillId="2" borderId="0" xfId="1" quotePrefix="1" applyNumberFormat="1" applyFont="1" applyFill="1" applyAlignment="1">
      <alignment vertical="center"/>
    </xf>
    <xf numFmtId="0" fontId="2" fillId="2" borderId="20" xfId="1" applyFill="1" applyBorder="1" applyAlignment="1">
      <alignment vertical="center"/>
    </xf>
    <xf numFmtId="0" fontId="2" fillId="2" borderId="22" xfId="1" applyFill="1" applyBorder="1" applyAlignment="1">
      <alignment vertical="center"/>
    </xf>
    <xf numFmtId="0" fontId="6" fillId="2" borderId="21" xfId="1" applyFont="1" applyFill="1" applyBorder="1" applyAlignment="1">
      <alignment vertical="center"/>
    </xf>
    <xf numFmtId="0" fontId="6" fillId="2" borderId="21" xfId="1" applyFont="1" applyFill="1" applyBorder="1" applyAlignment="1">
      <alignment horizontal="left" vertical="center"/>
    </xf>
    <xf numFmtId="0" fontId="2" fillId="2" borderId="24" xfId="1" applyFill="1" applyBorder="1" applyAlignment="1">
      <alignment vertical="center"/>
    </xf>
    <xf numFmtId="0" fontId="6" fillId="2" borderId="13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6" fillId="2" borderId="18" xfId="1" applyFont="1" applyFill="1" applyBorder="1" applyAlignment="1">
      <alignment vertical="center"/>
    </xf>
    <xf numFmtId="0" fontId="6" fillId="2" borderId="36" xfId="1" quotePrefix="1" applyFont="1" applyFill="1" applyBorder="1" applyAlignment="1">
      <alignment vertical="center"/>
    </xf>
    <xf numFmtId="0" fontId="6" fillId="2" borderId="35" xfId="1" quotePrefix="1" applyFont="1" applyFill="1" applyBorder="1" applyAlignment="1">
      <alignment vertical="center"/>
    </xf>
    <xf numFmtId="0" fontId="6" fillId="2" borderId="38" xfId="1" quotePrefix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11" fillId="2" borderId="9" xfId="1" applyFont="1" applyFill="1" applyBorder="1" applyAlignment="1">
      <alignment vertical="center"/>
    </xf>
    <xf numFmtId="0" fontId="6" fillId="2" borderId="40" xfId="1" applyFont="1" applyFill="1" applyBorder="1" applyAlignment="1">
      <alignment vertical="center"/>
    </xf>
    <xf numFmtId="0" fontId="6" fillId="2" borderId="36" xfId="1" applyFont="1" applyFill="1" applyBorder="1" applyAlignment="1">
      <alignment vertical="center"/>
    </xf>
    <xf numFmtId="0" fontId="6" fillId="2" borderId="35" xfId="1" applyFont="1" applyFill="1" applyBorder="1" applyAlignment="1">
      <alignment vertical="center"/>
    </xf>
    <xf numFmtId="0" fontId="6" fillId="2" borderId="19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8" xfId="1" quotePrefix="1" applyFont="1" applyFill="1" applyBorder="1" applyAlignment="1">
      <alignment vertical="center"/>
    </xf>
    <xf numFmtId="0" fontId="11" fillId="2" borderId="35" xfId="1" applyFont="1" applyFill="1" applyBorder="1" applyAlignment="1">
      <alignment vertical="center"/>
    </xf>
    <xf numFmtId="0" fontId="6" fillId="2" borderId="38" xfId="1" applyFont="1" applyFill="1" applyBorder="1" applyAlignment="1">
      <alignment vertical="center"/>
    </xf>
    <xf numFmtId="0" fontId="6" fillId="2" borderId="6" xfId="1" quotePrefix="1" applyFont="1" applyFill="1" applyBorder="1" applyAlignment="1">
      <alignment vertical="center"/>
    </xf>
    <xf numFmtId="0" fontId="6" fillId="2" borderId="9" xfId="1" quotePrefix="1" applyFont="1" applyFill="1" applyBorder="1" applyAlignment="1">
      <alignment vertical="center"/>
    </xf>
    <xf numFmtId="0" fontId="6" fillId="2" borderId="17" xfId="1" applyFont="1" applyFill="1" applyBorder="1" applyAlignment="1">
      <alignment vertical="center"/>
    </xf>
    <xf numFmtId="0" fontId="6" fillId="2" borderId="0" xfId="1" applyFont="1" applyFill="1"/>
    <xf numFmtId="0" fontId="6" fillId="2" borderId="0" xfId="1" applyFont="1" applyFill="1" applyAlignment="1">
      <alignment vertical="top"/>
    </xf>
    <xf numFmtId="0" fontId="6" fillId="2" borderId="19" xfId="1" applyFont="1" applyFill="1" applyBorder="1" applyAlignment="1">
      <alignment vertical="top"/>
    </xf>
    <xf numFmtId="0" fontId="6" fillId="2" borderId="34" xfId="1" applyFont="1" applyFill="1" applyBorder="1" applyAlignment="1">
      <alignment vertical="center" wrapText="1"/>
    </xf>
    <xf numFmtId="0" fontId="6" fillId="2" borderId="35" xfId="1" applyFont="1" applyFill="1" applyBorder="1" applyAlignment="1">
      <alignment vertical="center" wrapText="1"/>
    </xf>
    <xf numFmtId="0" fontId="6" fillId="2" borderId="37" xfId="1" applyFont="1" applyFill="1" applyBorder="1" applyAlignment="1">
      <alignment vertical="center" wrapText="1"/>
    </xf>
    <xf numFmtId="0" fontId="6" fillId="2" borderId="31" xfId="1" applyFont="1" applyFill="1" applyBorder="1" applyAlignment="1">
      <alignment vertical="center"/>
    </xf>
    <xf numFmtId="0" fontId="6" fillId="2" borderId="30" xfId="1" applyFont="1" applyFill="1" applyBorder="1" applyAlignment="1">
      <alignment vertical="center"/>
    </xf>
    <xf numFmtId="0" fontId="6" fillId="2" borderId="32" xfId="1" applyFont="1" applyFill="1" applyBorder="1" applyAlignment="1">
      <alignment vertical="center"/>
    </xf>
    <xf numFmtId="0" fontId="6" fillId="2" borderId="16" xfId="1" applyFont="1" applyFill="1" applyBorder="1" applyAlignment="1">
      <alignment vertical="center" wrapText="1"/>
    </xf>
    <xf numFmtId="0" fontId="11" fillId="2" borderId="30" xfId="1" applyFont="1" applyFill="1" applyBorder="1" applyAlignment="1">
      <alignment vertical="center"/>
    </xf>
    <xf numFmtId="0" fontId="6" fillId="2" borderId="39" xfId="1" applyFont="1" applyFill="1" applyBorder="1" applyAlignment="1">
      <alignment vertical="center" wrapText="1"/>
    </xf>
    <xf numFmtId="0" fontId="6" fillId="2" borderId="9" xfId="1" applyFont="1" applyFill="1" applyBorder="1" applyAlignment="1">
      <alignment vertical="center" wrapText="1"/>
    </xf>
    <xf numFmtId="0" fontId="6" fillId="2" borderId="18" xfId="1" applyFont="1" applyFill="1" applyBorder="1" applyAlignment="1">
      <alignment vertical="center" wrapText="1"/>
    </xf>
    <xf numFmtId="0" fontId="6" fillId="2" borderId="37" xfId="1" applyFont="1" applyFill="1" applyBorder="1" applyAlignment="1">
      <alignment vertical="center"/>
    </xf>
    <xf numFmtId="0" fontId="6" fillId="2" borderId="41" xfId="1" applyFont="1" applyFill="1" applyBorder="1" applyAlignment="1">
      <alignment vertical="center"/>
    </xf>
    <xf numFmtId="0" fontId="17" fillId="2" borderId="39" xfId="1" applyFont="1" applyFill="1" applyBorder="1" applyAlignment="1">
      <alignment horizontal="centerContinuous" vertical="center"/>
    </xf>
    <xf numFmtId="0" fontId="18" fillId="2" borderId="9" xfId="1" applyFont="1" applyFill="1" applyBorder="1" applyAlignment="1">
      <alignment horizontal="centerContinuous" vertical="center"/>
    </xf>
    <xf numFmtId="0" fontId="18" fillId="2" borderId="30" xfId="1" applyFont="1" applyFill="1" applyBorder="1" applyAlignment="1">
      <alignment horizontal="centerContinuous" vertical="center"/>
    </xf>
    <xf numFmtId="0" fontId="18" fillId="2" borderId="33" xfId="1" applyFont="1" applyFill="1" applyBorder="1" applyAlignment="1">
      <alignment horizontal="centerContinuous" vertical="center"/>
    </xf>
    <xf numFmtId="0" fontId="18" fillId="2" borderId="0" xfId="1" applyFont="1" applyFill="1" applyAlignment="1">
      <alignment vertical="center"/>
    </xf>
    <xf numFmtId="0" fontId="19" fillId="4" borderId="36" xfId="1" applyFont="1" applyFill="1" applyBorder="1" applyAlignment="1">
      <alignment horizontal="centerContinuous"/>
    </xf>
    <xf numFmtId="0" fontId="19" fillId="4" borderId="35" xfId="1" applyFont="1" applyFill="1" applyBorder="1" applyAlignment="1">
      <alignment horizontal="centerContinuous" vertical="center"/>
    </xf>
    <xf numFmtId="0" fontId="19" fillId="4" borderId="37" xfId="1" applyFont="1" applyFill="1" applyBorder="1" applyAlignment="1">
      <alignment horizontal="centerContinuous" vertical="center"/>
    </xf>
    <xf numFmtId="0" fontId="19" fillId="2" borderId="0" xfId="1" applyFont="1" applyFill="1" applyAlignment="1">
      <alignment vertical="center"/>
    </xf>
    <xf numFmtId="0" fontId="19" fillId="4" borderId="8" xfId="1" applyFont="1" applyFill="1" applyBorder="1" applyAlignment="1">
      <alignment horizontal="centerContinuous" vertical="top"/>
    </xf>
    <xf numFmtId="0" fontId="19" fillId="4" borderId="9" xfId="1" applyFont="1" applyFill="1" applyBorder="1" applyAlignment="1">
      <alignment horizontal="centerContinuous" vertical="center"/>
    </xf>
    <xf numFmtId="0" fontId="19" fillId="4" borderId="18" xfId="1" applyFont="1" applyFill="1" applyBorder="1" applyAlignment="1">
      <alignment horizontal="centerContinuous" vertical="center"/>
    </xf>
    <xf numFmtId="0" fontId="19" fillId="2" borderId="11" xfId="1" applyFont="1" applyFill="1" applyBorder="1" applyAlignment="1">
      <alignment vertical="center"/>
    </xf>
    <xf numFmtId="0" fontId="20" fillId="2" borderId="12" xfId="1" applyFont="1" applyFill="1" applyBorder="1" applyAlignment="1">
      <alignment vertical="center"/>
    </xf>
    <xf numFmtId="0" fontId="6" fillId="2" borderId="27" xfId="1" applyFont="1" applyFill="1" applyBorder="1" applyAlignment="1">
      <alignment vertical="center"/>
    </xf>
    <xf numFmtId="0" fontId="6" fillId="2" borderId="26" xfId="1" applyFont="1" applyFill="1" applyBorder="1" applyAlignment="1">
      <alignment vertical="center"/>
    </xf>
    <xf numFmtId="0" fontId="6" fillId="2" borderId="43" xfId="1" applyFont="1" applyFill="1" applyBorder="1" applyAlignment="1">
      <alignment vertical="center"/>
    </xf>
    <xf numFmtId="0" fontId="19" fillId="2" borderId="16" xfId="1" applyFont="1" applyFill="1" applyBorder="1" applyAlignment="1">
      <alignment vertical="center"/>
    </xf>
    <xf numFmtId="0" fontId="6" fillId="2" borderId="20" xfId="1" applyFont="1" applyFill="1" applyBorder="1" applyAlignment="1">
      <alignment vertical="center"/>
    </xf>
    <xf numFmtId="0" fontId="6" fillId="2" borderId="22" xfId="1" applyFont="1" applyFill="1" applyBorder="1" applyAlignment="1">
      <alignment vertical="center"/>
    </xf>
    <xf numFmtId="0" fontId="6" fillId="2" borderId="44" xfId="1" applyFont="1" applyFill="1" applyBorder="1" applyAlignment="1">
      <alignment vertical="center"/>
    </xf>
    <xf numFmtId="0" fontId="6" fillId="2" borderId="45" xfId="1" applyFont="1" applyFill="1" applyBorder="1" applyAlignment="1">
      <alignment vertical="center"/>
    </xf>
    <xf numFmtId="0" fontId="6" fillId="2" borderId="46" xfId="1" applyFont="1" applyFill="1" applyBorder="1" applyAlignment="1">
      <alignment vertical="center"/>
    </xf>
    <xf numFmtId="171" fontId="0" fillId="0" borderId="1" xfId="0" applyNumberFormat="1" applyBorder="1"/>
    <xf numFmtId="169" fontId="0" fillId="0" borderId="1" xfId="0" applyNumberFormat="1" applyBorder="1"/>
    <xf numFmtId="169" fontId="0" fillId="3" borderId="2" xfId="0" applyNumberFormat="1" applyFill="1" applyBorder="1"/>
    <xf numFmtId="172" fontId="0" fillId="0" borderId="2" xfId="0" applyNumberFormat="1" applyBorder="1"/>
    <xf numFmtId="0" fontId="6" fillId="2" borderId="9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35" xfId="1" applyFont="1" applyFill="1" applyBorder="1" applyAlignment="1">
      <alignment horizontal="left" vertical="center"/>
    </xf>
    <xf numFmtId="0" fontId="0" fillId="0" borderId="35" xfId="0" applyBorder="1"/>
    <xf numFmtId="0" fontId="6" fillId="2" borderId="16" xfId="1" applyFont="1" applyFill="1" applyBorder="1" applyAlignment="1">
      <alignment vertical="center"/>
    </xf>
    <xf numFmtId="0" fontId="6" fillId="2" borderId="39" xfId="1" applyFont="1" applyFill="1" applyBorder="1" applyAlignment="1">
      <alignment vertical="center"/>
    </xf>
    <xf numFmtId="0" fontId="6" fillId="2" borderId="30" xfId="1" applyFont="1" applyFill="1" applyBorder="1" applyAlignment="1">
      <alignment vertical="center" wrapText="1"/>
    </xf>
    <xf numFmtId="0" fontId="15" fillId="2" borderId="0" xfId="1" applyFont="1" applyFill="1" applyAlignment="1">
      <alignment vertical="center"/>
    </xf>
    <xf numFmtId="0" fontId="11" fillId="2" borderId="0" xfId="1" applyFont="1" applyFill="1" applyAlignment="1">
      <alignment vertical="center"/>
    </xf>
    <xf numFmtId="0" fontId="2" fillId="2" borderId="53" xfId="1" applyFill="1" applyBorder="1" applyAlignment="1">
      <alignment vertical="center"/>
    </xf>
    <xf numFmtId="0" fontId="2" fillId="2" borderId="54" xfId="1" applyFill="1" applyBorder="1" applyAlignment="1">
      <alignment vertical="center"/>
    </xf>
    <xf numFmtId="0" fontId="2" fillId="2" borderId="54" xfId="1" applyFill="1" applyBorder="1" applyAlignment="1">
      <alignment horizontal="center" vertical="center"/>
    </xf>
    <xf numFmtId="0" fontId="2" fillId="2" borderId="48" xfId="1" applyFill="1" applyBorder="1" applyAlignment="1">
      <alignment vertical="center"/>
    </xf>
    <xf numFmtId="0" fontId="2" fillId="2" borderId="57" xfId="1" applyFill="1" applyBorder="1" applyAlignment="1">
      <alignment vertical="center"/>
    </xf>
    <xf numFmtId="0" fontId="2" fillId="2" borderId="0" xfId="1" applyFill="1" applyAlignment="1">
      <alignment horizontal="center" vertical="center"/>
    </xf>
    <xf numFmtId="0" fontId="2" fillId="2" borderId="0" xfId="1" quotePrefix="1" applyFill="1" applyAlignment="1">
      <alignment vertical="center"/>
    </xf>
    <xf numFmtId="0" fontId="2" fillId="2" borderId="7" xfId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25" fillId="2" borderId="0" xfId="1" applyFont="1" applyFill="1" applyAlignment="1">
      <alignment vertical="center"/>
    </xf>
    <xf numFmtId="0" fontId="25" fillId="2" borderId="0" xfId="1" applyFont="1" applyFill="1"/>
    <xf numFmtId="0" fontId="27" fillId="2" borderId="57" xfId="1" applyFont="1" applyFill="1" applyBorder="1"/>
    <xf numFmtId="0" fontId="27" fillId="2" borderId="0" xfId="1" applyFont="1" applyFill="1"/>
    <xf numFmtId="0" fontId="28" fillId="2" borderId="53" xfId="1" applyFont="1" applyFill="1" applyBorder="1" applyAlignment="1">
      <alignment horizontal="center" vertical="center"/>
    </xf>
    <xf numFmtId="0" fontId="28" fillId="2" borderId="48" xfId="1" applyFont="1" applyFill="1" applyBorder="1" applyAlignment="1">
      <alignment horizontal="center" vertical="center"/>
    </xf>
    <xf numFmtId="0" fontId="27" fillId="2" borderId="48" xfId="1" applyFont="1" applyFill="1" applyBorder="1" applyAlignment="1">
      <alignment horizontal="center"/>
    </xf>
    <xf numFmtId="0" fontId="27" fillId="2" borderId="5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71" xfId="1" applyFont="1" applyFill="1" applyBorder="1"/>
    <xf numFmtId="0" fontId="27" fillId="2" borderId="72" xfId="1" applyFont="1" applyFill="1" applyBorder="1"/>
    <xf numFmtId="0" fontId="27" fillId="2" borderId="72" xfId="1" applyFont="1" applyFill="1" applyBorder="1" applyAlignment="1">
      <alignment horizontal="centerContinuous"/>
    </xf>
    <xf numFmtId="0" fontId="27" fillId="2" borderId="73" xfId="1" applyFont="1" applyFill="1" applyBorder="1" applyAlignment="1">
      <alignment horizontal="center"/>
    </xf>
    <xf numFmtId="0" fontId="27" fillId="2" borderId="71" xfId="1" applyFont="1" applyFill="1" applyBorder="1" applyAlignment="1">
      <alignment horizontal="center"/>
    </xf>
    <xf numFmtId="0" fontId="27" fillId="2" borderId="72" xfId="1" applyFont="1" applyFill="1" applyBorder="1" applyAlignment="1">
      <alignment horizontal="center"/>
    </xf>
    <xf numFmtId="0" fontId="27" fillId="2" borderId="53" xfId="1" applyFont="1" applyFill="1" applyBorder="1"/>
    <xf numFmtId="0" fontId="27" fillId="2" borderId="54" xfId="1" applyFont="1" applyFill="1" applyBorder="1"/>
    <xf numFmtId="0" fontId="27" fillId="2" borderId="54" xfId="1" applyFont="1" applyFill="1" applyBorder="1" applyAlignment="1">
      <alignment horizontal="centerContinuous"/>
    </xf>
    <xf numFmtId="0" fontId="27" fillId="2" borderId="2" xfId="1" applyFont="1" applyFill="1" applyBorder="1"/>
    <xf numFmtId="0" fontId="27" fillId="2" borderId="42" xfId="1" applyFont="1" applyFill="1" applyBorder="1"/>
    <xf numFmtId="0" fontId="27" fillId="2" borderId="42" xfId="1" applyFont="1" applyFill="1" applyBorder="1" applyAlignment="1">
      <alignment horizontal="centerContinuous"/>
    </xf>
    <xf numFmtId="0" fontId="27" fillId="2" borderId="2" xfId="1" applyFont="1" applyFill="1" applyBorder="1" applyAlignment="1">
      <alignment horizontal="centerContinuous"/>
    </xf>
    <xf numFmtId="0" fontId="27" fillId="2" borderId="2" xfId="1" applyFont="1" applyFill="1" applyBorder="1" applyAlignment="1">
      <alignment horizontal="left"/>
    </xf>
    <xf numFmtId="0" fontId="27" fillId="2" borderId="42" xfId="1" applyFont="1" applyFill="1" applyBorder="1" applyAlignment="1">
      <alignment horizontal="left"/>
    </xf>
    <xf numFmtId="0" fontId="27" fillId="2" borderId="5" xfId="1" applyFont="1" applyFill="1" applyBorder="1" applyAlignment="1">
      <alignment horizontal="centerContinuous"/>
    </xf>
    <xf numFmtId="0" fontId="25" fillId="2" borderId="42" xfId="1" applyFont="1" applyFill="1" applyBorder="1"/>
    <xf numFmtId="0" fontId="27" fillId="2" borderId="42" xfId="1" applyFont="1" applyFill="1" applyBorder="1" applyAlignment="1">
      <alignment horizontal="center"/>
    </xf>
    <xf numFmtId="0" fontId="27" fillId="2" borderId="1" xfId="1" applyFont="1" applyFill="1" applyBorder="1" applyAlignment="1">
      <alignment horizontal="center"/>
    </xf>
    <xf numFmtId="0" fontId="27" fillId="2" borderId="57" xfId="1" applyFont="1" applyFill="1" applyBorder="1" applyAlignment="1">
      <alignment horizontal="left"/>
    </xf>
    <xf numFmtId="0" fontId="27" fillId="2" borderId="0" xfId="1" applyFont="1" applyFill="1" applyAlignment="1">
      <alignment horizontal="centerContinuous"/>
    </xf>
    <xf numFmtId="0" fontId="27" fillId="2" borderId="81" xfId="1" applyFont="1" applyFill="1" applyBorder="1" applyAlignment="1">
      <alignment horizontal="center"/>
    </xf>
    <xf numFmtId="0" fontId="27" fillId="2" borderId="57" xfId="1" quotePrefix="1" applyFont="1" applyFill="1" applyBorder="1"/>
    <xf numFmtId="0" fontId="27" fillId="2" borderId="0" xfId="1" applyFont="1" applyFill="1" applyAlignment="1">
      <alignment horizontal="left"/>
    </xf>
    <xf numFmtId="0" fontId="27" fillId="2" borderId="57" xfId="1" applyFont="1" applyFill="1" applyBorder="1" applyAlignment="1">
      <alignment horizontal="center"/>
    </xf>
    <xf numFmtId="0" fontId="27" fillId="2" borderId="0" xfId="1" applyFont="1" applyFill="1" applyAlignment="1">
      <alignment horizontal="center"/>
    </xf>
    <xf numFmtId="0" fontId="27" fillId="2" borderId="7" xfId="1" applyFont="1" applyFill="1" applyBorder="1" applyAlignment="1">
      <alignment horizontal="center"/>
    </xf>
    <xf numFmtId="0" fontId="27" fillId="2" borderId="71" xfId="1" quotePrefix="1" applyFont="1" applyFill="1" applyBorder="1"/>
    <xf numFmtId="0" fontId="27" fillId="2" borderId="72" xfId="1" applyFont="1" applyFill="1" applyBorder="1" applyAlignment="1">
      <alignment horizontal="center" vertical="top"/>
    </xf>
    <xf numFmtId="0" fontId="27" fillId="2" borderId="71" xfId="1" applyFont="1" applyFill="1" applyBorder="1" applyAlignment="1">
      <alignment horizontal="left"/>
    </xf>
    <xf numFmtId="0" fontId="27" fillId="2" borderId="72" xfId="1" applyFont="1" applyFill="1" applyBorder="1" applyAlignment="1">
      <alignment horizontal="left"/>
    </xf>
    <xf numFmtId="0" fontId="25" fillId="2" borderId="72" xfId="1" applyFont="1" applyFill="1" applyBorder="1"/>
    <xf numFmtId="0" fontId="27" fillId="2" borderId="49" xfId="1" applyFont="1" applyFill="1" applyBorder="1" applyAlignment="1">
      <alignment horizontal="center"/>
    </xf>
    <xf numFmtId="0" fontId="27" fillId="2" borderId="0" xfId="1" applyFont="1" applyFill="1" applyAlignment="1">
      <alignment horizontal="center" vertical="top"/>
    </xf>
    <xf numFmtId="0" fontId="27" fillId="2" borderId="57" xfId="1" applyFont="1" applyFill="1" applyBorder="1" applyAlignment="1">
      <alignment horizontal="centerContinuous"/>
    </xf>
    <xf numFmtId="0" fontId="27" fillId="2" borderId="7" xfId="1" applyFont="1" applyFill="1" applyBorder="1" applyAlignment="1">
      <alignment horizontal="centerContinuous"/>
    </xf>
    <xf numFmtId="0" fontId="27" fillId="2" borderId="86" xfId="1" quotePrefix="1" applyFont="1" applyFill="1" applyBorder="1"/>
    <xf numFmtId="0" fontId="27" fillId="2" borderId="87" xfId="1" applyFont="1" applyFill="1" applyBorder="1"/>
    <xf numFmtId="0" fontId="27" fillId="2" borderId="87" xfId="1" applyFont="1" applyFill="1" applyBorder="1" applyAlignment="1">
      <alignment horizontal="centerContinuous"/>
    </xf>
    <xf numFmtId="0" fontId="27" fillId="2" borderId="86" xfId="1" applyFont="1" applyFill="1" applyBorder="1" applyAlignment="1">
      <alignment horizontal="centerContinuous"/>
    </xf>
    <xf numFmtId="0" fontId="27" fillId="2" borderId="88" xfId="1" applyFont="1" applyFill="1" applyBorder="1" applyAlignment="1">
      <alignment horizontal="centerContinuous"/>
    </xf>
    <xf numFmtId="0" fontId="25" fillId="2" borderId="87" xfId="1" applyFont="1" applyFill="1" applyBorder="1"/>
    <xf numFmtId="0" fontId="27" fillId="2" borderId="87" xfId="1" applyFont="1" applyFill="1" applyBorder="1" applyAlignment="1">
      <alignment horizontal="center"/>
    </xf>
    <xf numFmtId="0" fontId="27" fillId="2" borderId="89" xfId="1" applyFont="1" applyFill="1" applyBorder="1" applyAlignment="1">
      <alignment horizontal="center"/>
    </xf>
    <xf numFmtId="0" fontId="27" fillId="2" borderId="88" xfId="1" applyFont="1" applyFill="1" applyBorder="1" applyAlignment="1">
      <alignment horizontal="center"/>
    </xf>
    <xf numFmtId="0" fontId="27" fillId="2" borderId="90" xfId="1" quotePrefix="1" applyFont="1" applyFill="1" applyBorder="1"/>
    <xf numFmtId="0" fontId="27" fillId="2" borderId="91" xfId="1" applyFont="1" applyFill="1" applyBorder="1"/>
    <xf numFmtId="0" fontId="27" fillId="2" borderId="91" xfId="1" applyFont="1" applyFill="1" applyBorder="1" applyAlignment="1">
      <alignment horizontal="centerContinuous"/>
    </xf>
    <xf numFmtId="0" fontId="27" fillId="2" borderId="90" xfId="1" applyFont="1" applyFill="1" applyBorder="1" applyAlignment="1">
      <alignment horizontal="centerContinuous"/>
    </xf>
    <xf numFmtId="0" fontId="27" fillId="2" borderId="92" xfId="1" applyFont="1" applyFill="1" applyBorder="1" applyAlignment="1">
      <alignment horizontal="centerContinuous"/>
    </xf>
    <xf numFmtId="0" fontId="25" fillId="2" borderId="91" xfId="1" applyFont="1" applyFill="1" applyBorder="1"/>
    <xf numFmtId="0" fontId="27" fillId="2" borderId="91" xfId="1" applyFont="1" applyFill="1" applyBorder="1" applyAlignment="1">
      <alignment horizontal="center"/>
    </xf>
    <xf numFmtId="0" fontId="27" fillId="2" borderId="93" xfId="1" applyFont="1" applyFill="1" applyBorder="1" applyAlignment="1">
      <alignment horizontal="center"/>
    </xf>
    <xf numFmtId="0" fontId="27" fillId="2" borderId="92" xfId="1" applyFont="1" applyFill="1" applyBorder="1" applyAlignment="1">
      <alignment horizontal="center"/>
    </xf>
    <xf numFmtId="0" fontId="27" fillId="2" borderId="86" xfId="1" applyFont="1" applyFill="1" applyBorder="1"/>
    <xf numFmtId="0" fontId="28" fillId="2" borderId="86" xfId="1" applyFont="1" applyFill="1" applyBorder="1" applyAlignment="1">
      <alignment horizontal="centerContinuous" vertical="center"/>
    </xf>
    <xf numFmtId="0" fontId="28" fillId="2" borderId="87" xfId="1" applyFont="1" applyFill="1" applyBorder="1" applyAlignment="1">
      <alignment horizontal="centerContinuous" vertical="center"/>
    </xf>
    <xf numFmtId="0" fontId="27" fillId="2" borderId="54" xfId="1" applyFont="1" applyFill="1" applyBorder="1" applyAlignment="1">
      <alignment horizontal="left"/>
    </xf>
    <xf numFmtId="0" fontId="27" fillId="2" borderId="48" xfId="1" applyFont="1" applyFill="1" applyBorder="1" applyAlignment="1">
      <alignment horizontal="centerContinuous"/>
    </xf>
    <xf numFmtId="0" fontId="25" fillId="2" borderId="54" xfId="1" applyFont="1" applyFill="1" applyBorder="1"/>
    <xf numFmtId="0" fontId="25" fillId="2" borderId="53" xfId="1" applyFont="1" applyFill="1" applyBorder="1"/>
    <xf numFmtId="0" fontId="25" fillId="2" borderId="48" xfId="1" applyFont="1" applyFill="1" applyBorder="1"/>
    <xf numFmtId="0" fontId="27" fillId="2" borderId="72" xfId="1" quotePrefix="1" applyFont="1" applyFill="1" applyBorder="1" applyAlignment="1">
      <alignment horizontal="left"/>
    </xf>
    <xf numFmtId="0" fontId="25" fillId="2" borderId="57" xfId="1" applyFont="1" applyFill="1" applyBorder="1"/>
    <xf numFmtId="0" fontId="25" fillId="2" borderId="7" xfId="1" applyFont="1" applyFill="1" applyBorder="1"/>
    <xf numFmtId="0" fontId="25" fillId="2" borderId="71" xfId="1" applyFont="1" applyFill="1" applyBorder="1"/>
    <xf numFmtId="0" fontId="25" fillId="2" borderId="73" xfId="1" applyFont="1" applyFill="1" applyBorder="1"/>
    <xf numFmtId="0" fontId="27" fillId="2" borderId="80" xfId="1" applyFont="1" applyFill="1" applyBorder="1"/>
    <xf numFmtId="0" fontId="27" fillId="2" borderId="48" xfId="1" applyFont="1" applyFill="1" applyBorder="1"/>
    <xf numFmtId="0" fontId="27" fillId="2" borderId="81" xfId="1" applyFont="1" applyFill="1" applyBorder="1"/>
    <xf numFmtId="0" fontId="27" fillId="2" borderId="7" xfId="1" applyFont="1" applyFill="1" applyBorder="1"/>
    <xf numFmtId="0" fontId="27" fillId="2" borderId="0" xfId="1" quotePrefix="1" applyFont="1" applyFill="1"/>
    <xf numFmtId="0" fontId="27" fillId="2" borderId="49" xfId="1" applyFont="1" applyFill="1" applyBorder="1"/>
    <xf numFmtId="0" fontId="28" fillId="2" borderId="54" xfId="1" applyFont="1" applyFill="1" applyBorder="1" applyAlignment="1">
      <alignment horizontal="center" vertical="center"/>
    </xf>
    <xf numFmtId="0" fontId="27" fillId="2" borderId="73" xfId="1" applyFont="1" applyFill="1" applyBorder="1"/>
    <xf numFmtId="0" fontId="2" fillId="2" borderId="71" xfId="1" applyFill="1" applyBorder="1"/>
    <xf numFmtId="0" fontId="9" fillId="2" borderId="72" xfId="1" applyFont="1" applyFill="1" applyBorder="1"/>
    <xf numFmtId="0" fontId="9" fillId="2" borderId="71" xfId="1" applyFont="1" applyFill="1" applyBorder="1"/>
    <xf numFmtId="0" fontId="9" fillId="2" borderId="49" xfId="1" applyFont="1" applyFill="1" applyBorder="1"/>
    <xf numFmtId="0" fontId="9" fillId="2" borderId="73" xfId="1" applyFont="1" applyFill="1" applyBorder="1"/>
    <xf numFmtId="0" fontId="2" fillId="2" borderId="100" xfId="1" applyFill="1" applyBorder="1" applyAlignment="1">
      <alignment vertical="center"/>
    </xf>
    <xf numFmtId="0" fontId="9" fillId="2" borderId="21" xfId="1" applyFont="1" applyFill="1" applyBorder="1" applyAlignment="1">
      <alignment vertical="center"/>
    </xf>
    <xf numFmtId="0" fontId="2" fillId="2" borderId="21" xfId="1" applyFill="1" applyBorder="1" applyAlignment="1">
      <alignment vertical="center"/>
    </xf>
    <xf numFmtId="0" fontId="2" fillId="2" borderId="21" xfId="1" applyFill="1" applyBorder="1" applyAlignment="1">
      <alignment horizontal="center" vertical="center"/>
    </xf>
    <xf numFmtId="0" fontId="2" fillId="2" borderId="103" xfId="1" applyFill="1" applyBorder="1" applyAlignment="1">
      <alignment vertical="center"/>
    </xf>
    <xf numFmtId="0" fontId="35" fillId="2" borderId="0" xfId="1" applyFont="1" applyFill="1"/>
    <xf numFmtId="0" fontId="35" fillId="2" borderId="1" xfId="1" applyFont="1" applyFill="1" applyBorder="1" applyAlignment="1">
      <alignment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left" vertical="center"/>
    </xf>
    <xf numFmtId="0" fontId="6" fillId="2" borderId="1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vertical="center"/>
    </xf>
    <xf numFmtId="0" fontId="6" fillId="2" borderId="15" xfId="1" applyFont="1" applyFill="1" applyBorder="1" applyAlignment="1">
      <alignment vertical="center"/>
    </xf>
    <xf numFmtId="0" fontId="6" fillId="2" borderId="8" xfId="1" applyFont="1" applyFill="1" applyBorder="1" applyAlignment="1">
      <alignment horizontal="left" vertical="top"/>
    </xf>
    <xf numFmtId="0" fontId="10" fillId="2" borderId="16" xfId="1" applyFont="1" applyFill="1" applyBorder="1" applyAlignment="1">
      <alignment vertical="center"/>
    </xf>
    <xf numFmtId="0" fontId="37" fillId="2" borderId="0" xfId="1" applyFont="1" applyFill="1" applyAlignment="1">
      <alignment vertical="center"/>
    </xf>
    <xf numFmtId="0" fontId="13" fillId="2" borderId="0" xfId="1" applyFont="1" applyFill="1" applyAlignment="1">
      <alignment vertical="center"/>
    </xf>
    <xf numFmtId="0" fontId="38" fillId="2" borderId="0" xfId="1" applyFont="1" applyFill="1" applyAlignment="1">
      <alignment vertical="center"/>
    </xf>
    <xf numFmtId="0" fontId="6" fillId="2" borderId="94" xfId="1" applyFont="1" applyFill="1" applyBorder="1" applyAlignment="1">
      <alignment vertical="center"/>
    </xf>
    <xf numFmtId="0" fontId="38" fillId="2" borderId="0" xfId="1" quotePrefix="1" applyFont="1" applyFill="1" applyAlignment="1">
      <alignment vertical="center"/>
    </xf>
    <xf numFmtId="0" fontId="39" fillId="2" borderId="0" xfId="1" applyFont="1" applyFill="1" applyAlignment="1">
      <alignment vertical="center"/>
    </xf>
    <xf numFmtId="0" fontId="38" fillId="2" borderId="19" xfId="1" applyFont="1" applyFill="1" applyBorder="1" applyAlignment="1">
      <alignment vertical="center"/>
    </xf>
    <xf numFmtId="0" fontId="18" fillId="2" borderId="16" xfId="1" applyFont="1" applyFill="1" applyBorder="1" applyAlignment="1">
      <alignment vertical="center"/>
    </xf>
    <xf numFmtId="0" fontId="42" fillId="2" borderId="0" xfId="1" applyFont="1" applyFill="1" applyAlignment="1">
      <alignment vertical="center"/>
    </xf>
    <xf numFmtId="0" fontId="6" fillId="2" borderId="35" xfId="1" applyFont="1" applyFill="1" applyBorder="1" applyAlignment="1" applyProtection="1">
      <alignment vertical="center"/>
      <protection locked="0"/>
    </xf>
    <xf numFmtId="0" fontId="6" fillId="2" borderId="38" xfId="1" applyFont="1" applyFill="1" applyBorder="1" applyAlignment="1" applyProtection="1">
      <alignment vertical="center"/>
      <protection locked="0"/>
    </xf>
    <xf numFmtId="0" fontId="6" fillId="2" borderId="0" xfId="1" quotePrefix="1" applyFont="1" applyFill="1" applyAlignment="1">
      <alignment horizontal="center" vertical="center"/>
    </xf>
    <xf numFmtId="0" fontId="40" fillId="2" borderId="0" xfId="1" applyFont="1" applyFill="1" applyAlignment="1">
      <alignment vertical="center"/>
    </xf>
    <xf numFmtId="0" fontId="19" fillId="2" borderId="35" xfId="1" applyFont="1" applyFill="1" applyBorder="1" applyAlignment="1">
      <alignment vertical="center"/>
    </xf>
    <xf numFmtId="0" fontId="6" fillId="2" borderId="35" xfId="1" applyFont="1" applyFill="1" applyBorder="1" applyAlignment="1" applyProtection="1">
      <alignment horizontal="left" vertical="center"/>
      <protection locked="0"/>
    </xf>
    <xf numFmtId="0" fontId="19" fillId="2" borderId="0" xfId="1" quotePrefix="1" applyFont="1" applyFill="1" applyAlignment="1">
      <alignment vertical="center"/>
    </xf>
    <xf numFmtId="0" fontId="6" fillId="2" borderId="112" xfId="1" applyFont="1" applyFill="1" applyBorder="1" applyAlignment="1">
      <alignment horizontal="left" vertical="center"/>
    </xf>
    <xf numFmtId="0" fontId="11" fillId="2" borderId="113" xfId="1" applyFont="1" applyFill="1" applyBorder="1" applyAlignment="1">
      <alignment vertical="center"/>
    </xf>
    <xf numFmtId="0" fontId="6" fillId="2" borderId="113" xfId="1" applyFont="1" applyFill="1" applyBorder="1" applyAlignment="1">
      <alignment vertical="center"/>
    </xf>
    <xf numFmtId="0" fontId="6" fillId="2" borderId="114" xfId="1" applyFont="1" applyFill="1" applyBorder="1" applyAlignment="1">
      <alignment vertical="center"/>
    </xf>
    <xf numFmtId="0" fontId="6" fillId="2" borderId="115" xfId="1" applyFont="1" applyFill="1" applyBorder="1" applyAlignment="1">
      <alignment vertical="center"/>
    </xf>
    <xf numFmtId="0" fontId="46" fillId="2" borderId="0" xfId="1" applyFont="1" applyFill="1" applyAlignment="1">
      <alignment vertical="center"/>
    </xf>
    <xf numFmtId="0" fontId="38" fillId="2" borderId="0" xfId="1" quotePrefix="1" applyFont="1" applyFill="1" applyAlignment="1">
      <alignment horizontal="center" vertical="center"/>
    </xf>
    <xf numFmtId="0" fontId="6" fillId="2" borderId="16" xfId="1" applyFont="1" applyFill="1" applyBorder="1"/>
    <xf numFmtId="0" fontId="38" fillId="2" borderId="0" xfId="1" applyFont="1" applyFill="1"/>
    <xf numFmtId="0" fontId="38" fillId="2" borderId="19" xfId="1" applyFont="1" applyFill="1" applyBorder="1"/>
    <xf numFmtId="0" fontId="38" fillId="2" borderId="0" xfId="1" quotePrefix="1" applyFont="1" applyFill="1"/>
    <xf numFmtId="0" fontId="6" fillId="2" borderId="19" xfId="1" applyFont="1" applyFill="1" applyBorder="1"/>
    <xf numFmtId="0" fontId="6" fillId="2" borderId="16" xfId="1" applyFont="1" applyFill="1" applyBorder="1" applyAlignment="1">
      <alignment vertical="top"/>
    </xf>
    <xf numFmtId="0" fontId="38" fillId="2" borderId="0" xfId="1" quotePrefix="1" applyFont="1" applyFill="1" applyAlignment="1">
      <alignment vertical="top"/>
    </xf>
    <xf numFmtId="0" fontId="38" fillId="2" borderId="0" xfId="1" applyFont="1" applyFill="1" applyAlignment="1">
      <alignment vertical="top"/>
    </xf>
    <xf numFmtId="0" fontId="38" fillId="2" borderId="19" xfId="1" applyFont="1" applyFill="1" applyBorder="1" applyAlignment="1">
      <alignment vertical="top"/>
    </xf>
    <xf numFmtId="0" fontId="6" fillId="2" borderId="34" xfId="1" applyFont="1" applyFill="1" applyBorder="1"/>
    <xf numFmtId="0" fontId="6" fillId="2" borderId="0" xfId="1" applyFont="1" applyFill="1" applyAlignment="1" applyProtection="1">
      <alignment vertical="center"/>
      <protection locked="0"/>
    </xf>
    <xf numFmtId="0" fontId="6" fillId="2" borderId="0" xfId="1" quotePrefix="1" applyFont="1" applyFill="1" applyAlignment="1" applyProtection="1">
      <alignment vertical="center"/>
      <protection locked="0"/>
    </xf>
    <xf numFmtId="0" fontId="6" fillId="2" borderId="40" xfId="1" applyFont="1" applyFill="1" applyBorder="1" applyAlignment="1" applyProtection="1">
      <alignment vertical="center"/>
      <protection locked="0"/>
    </xf>
    <xf numFmtId="0" fontId="6" fillId="2" borderId="30" xfId="1" applyFont="1" applyFill="1" applyBorder="1" applyAlignment="1" applyProtection="1">
      <alignment vertical="center"/>
      <protection locked="0"/>
    </xf>
    <xf numFmtId="0" fontId="6" fillId="2" borderId="32" xfId="1" applyFont="1" applyFill="1" applyBorder="1" applyAlignment="1" applyProtection="1">
      <alignment vertical="center"/>
      <protection locked="0"/>
    </xf>
    <xf numFmtId="0" fontId="6" fillId="2" borderId="31" xfId="1" applyFont="1" applyFill="1" applyBorder="1" applyAlignment="1" applyProtection="1">
      <alignment vertical="center"/>
      <protection locked="0"/>
    </xf>
    <xf numFmtId="0" fontId="6" fillId="2" borderId="37" xfId="1" applyFont="1" applyFill="1" applyBorder="1" applyAlignment="1" applyProtection="1">
      <alignment vertical="center"/>
      <protection locked="0"/>
    </xf>
    <xf numFmtId="0" fontId="6" fillId="2" borderId="36" xfId="1" applyFont="1" applyFill="1" applyBorder="1" applyAlignment="1" applyProtection="1">
      <alignment vertical="center"/>
      <protection locked="0"/>
    </xf>
    <xf numFmtId="0" fontId="6" fillId="2" borderId="112" xfId="1" applyFont="1" applyFill="1" applyBorder="1" applyAlignment="1" applyProtection="1">
      <alignment vertical="center"/>
      <protection locked="0"/>
    </xf>
    <xf numFmtId="0" fontId="6" fillId="2" borderId="113" xfId="1" applyFont="1" applyFill="1" applyBorder="1" applyAlignment="1" applyProtection="1">
      <alignment vertical="center"/>
      <protection locked="0"/>
    </xf>
    <xf numFmtId="0" fontId="6" fillId="2" borderId="114" xfId="1" applyFont="1" applyFill="1" applyBorder="1" applyAlignment="1" applyProtection="1">
      <alignment vertical="center"/>
      <protection locked="0"/>
    </xf>
    <xf numFmtId="0" fontId="6" fillId="2" borderId="53" xfId="1" applyFont="1" applyFill="1" applyBorder="1" applyAlignment="1">
      <alignment vertical="center"/>
    </xf>
    <xf numFmtId="0" fontId="6" fillId="2" borderId="54" xfId="1" applyFont="1" applyFill="1" applyBorder="1" applyAlignment="1">
      <alignment vertical="center"/>
    </xf>
    <xf numFmtId="0" fontId="6" fillId="2" borderId="48" xfId="1" applyFont="1" applyFill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6" fillId="2" borderId="42" xfId="1" applyFont="1" applyFill="1" applyBorder="1" applyAlignment="1">
      <alignment vertical="center"/>
    </xf>
    <xf numFmtId="0" fontId="6" fillId="2" borderId="5" xfId="1" applyFont="1" applyFill="1" applyBorder="1" applyAlignment="1">
      <alignment vertical="center"/>
    </xf>
    <xf numFmtId="0" fontId="6" fillId="2" borderId="0" xfId="1" applyFont="1" applyFill="1" applyAlignment="1" applyProtection="1">
      <alignment vertical="center" wrapText="1"/>
      <protection locked="0"/>
    </xf>
    <xf numFmtId="0" fontId="6" fillId="2" borderId="19" xfId="1" applyFont="1" applyFill="1" applyBorder="1" applyAlignment="1" applyProtection="1">
      <alignment vertical="center" wrapText="1"/>
      <protection locked="0"/>
    </xf>
    <xf numFmtId="0" fontId="18" fillId="2" borderId="19" xfId="1" applyFont="1" applyFill="1" applyBorder="1" applyAlignment="1">
      <alignment vertical="center"/>
    </xf>
    <xf numFmtId="0" fontId="19" fillId="2" borderId="19" xfId="1" applyFont="1" applyFill="1" applyBorder="1" applyAlignment="1">
      <alignment vertical="center"/>
    </xf>
    <xf numFmtId="0" fontId="19" fillId="2" borderId="11" xfId="1" applyFont="1" applyFill="1" applyBorder="1" applyAlignment="1" applyProtection="1">
      <alignment vertical="center"/>
      <protection locked="0"/>
    </xf>
    <xf numFmtId="0" fontId="6" fillId="2" borderId="12" xfId="1" applyFont="1" applyFill="1" applyBorder="1" applyAlignment="1" applyProtection="1">
      <alignment vertical="center"/>
      <protection locked="0"/>
    </xf>
    <xf numFmtId="0" fontId="6" fillId="2" borderId="13" xfId="1" applyFont="1" applyFill="1" applyBorder="1" applyAlignment="1" applyProtection="1">
      <alignment vertical="center"/>
      <protection locked="0"/>
    </xf>
    <xf numFmtId="0" fontId="38" fillId="2" borderId="21" xfId="1" applyFont="1" applyFill="1" applyBorder="1" applyAlignment="1">
      <alignment vertical="center"/>
    </xf>
    <xf numFmtId="0" fontId="6" fillId="2" borderId="24" xfId="1" applyFont="1" applyFill="1" applyBorder="1" applyAlignment="1">
      <alignment vertical="center"/>
    </xf>
    <xf numFmtId="0" fontId="24" fillId="5" borderId="70" xfId="1" applyFont="1" applyFill="1" applyBorder="1" applyAlignment="1">
      <alignment horizontal="center" vertical="center" wrapText="1"/>
    </xf>
    <xf numFmtId="0" fontId="24" fillId="5" borderId="70" xfId="1" applyFont="1" applyFill="1" applyBorder="1" applyAlignment="1">
      <alignment horizontal="center" vertical="center"/>
    </xf>
    <xf numFmtId="0" fontId="24" fillId="5" borderId="1" xfId="1" applyFont="1" applyFill="1" applyBorder="1" applyAlignment="1">
      <alignment horizontal="center" vertical="center"/>
    </xf>
    <xf numFmtId="0" fontId="24" fillId="5" borderId="70" xfId="1" quotePrefix="1" applyFont="1" applyFill="1" applyBorder="1" applyAlignment="1">
      <alignment horizontal="center" vertical="center"/>
    </xf>
    <xf numFmtId="0" fontId="24" fillId="5" borderId="1" xfId="1" quotePrefix="1" applyFont="1" applyFill="1" applyBorder="1" applyAlignment="1">
      <alignment horizontal="center" vertical="center"/>
    </xf>
    <xf numFmtId="0" fontId="24" fillId="5" borderId="71" xfId="1" applyFont="1" applyFill="1" applyBorder="1" applyAlignment="1">
      <alignment horizontal="center" vertical="center" wrapText="1"/>
    </xf>
    <xf numFmtId="0" fontId="2" fillId="0" borderId="72" xfId="1" applyBorder="1" applyAlignment="1">
      <alignment horizontal="center" vertical="center" wrapText="1"/>
    </xf>
    <xf numFmtId="0" fontId="2" fillId="0" borderId="73" xfId="1" applyBorder="1" applyAlignment="1">
      <alignment horizontal="center" vertical="center" wrapText="1"/>
    </xf>
    <xf numFmtId="0" fontId="24" fillId="5" borderId="2" xfId="1" applyFont="1" applyFill="1" applyBorder="1" applyAlignment="1">
      <alignment horizontal="center" vertical="center" wrapText="1"/>
    </xf>
    <xf numFmtId="0" fontId="24" fillId="5" borderId="5" xfId="1" applyFont="1" applyFill="1" applyBorder="1" applyAlignment="1">
      <alignment horizontal="center" vertical="center" wrapText="1"/>
    </xf>
    <xf numFmtId="0" fontId="2" fillId="0" borderId="42" xfId="1" applyBorder="1"/>
    <xf numFmtId="0" fontId="26" fillId="5" borderId="2" xfId="1" applyFont="1" applyFill="1" applyBorder="1" applyAlignment="1">
      <alignment horizontal="center" vertical="center" wrapText="1"/>
    </xf>
    <xf numFmtId="0" fontId="26" fillId="5" borderId="42" xfId="1" applyFont="1" applyFill="1" applyBorder="1" applyAlignment="1">
      <alignment horizontal="center" vertical="center" wrapText="1"/>
    </xf>
    <xf numFmtId="0" fontId="2" fillId="2" borderId="55" xfId="1" applyFill="1" applyBorder="1" applyAlignment="1">
      <alignment horizontal="center" vertical="center"/>
    </xf>
    <xf numFmtId="0" fontId="2" fillId="2" borderId="54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7" fillId="2" borderId="58" xfId="1" applyFont="1" applyFill="1" applyBorder="1" applyAlignment="1">
      <alignment horizontal="center" vertical="center"/>
    </xf>
    <xf numFmtId="0" fontId="7" fillId="2" borderId="59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/>
    </xf>
    <xf numFmtId="0" fontId="23" fillId="2" borderId="61" xfId="1" applyFont="1" applyFill="1" applyBorder="1" applyAlignment="1">
      <alignment horizontal="center" vertical="center"/>
    </xf>
    <xf numFmtId="0" fontId="23" fillId="2" borderId="0" xfId="1" applyFont="1" applyFill="1" applyAlignment="1">
      <alignment horizontal="center" vertical="center"/>
    </xf>
    <xf numFmtId="0" fontId="23" fillId="2" borderId="62" xfId="1" applyFont="1" applyFill="1" applyBorder="1" applyAlignment="1">
      <alignment horizontal="center" vertical="center"/>
    </xf>
    <xf numFmtId="0" fontId="2" fillId="2" borderId="0" xfId="1" applyFill="1" applyAlignment="1">
      <alignment horizontal="left" vertical="center"/>
    </xf>
    <xf numFmtId="0" fontId="24" fillId="5" borderId="63" xfId="1" applyFont="1" applyFill="1" applyBorder="1" applyAlignment="1">
      <alignment horizontal="center" vertical="center" wrapText="1"/>
    </xf>
    <xf numFmtId="0" fontId="2" fillId="0" borderId="64" xfId="1" applyBorder="1" applyAlignment="1">
      <alignment horizontal="center" vertical="center" wrapText="1"/>
    </xf>
    <xf numFmtId="0" fontId="2" fillId="0" borderId="65" xfId="1" applyBorder="1" applyAlignment="1">
      <alignment horizontal="center" vertical="center" wrapText="1"/>
    </xf>
    <xf numFmtId="0" fontId="24" fillId="5" borderId="66" xfId="1" applyFont="1" applyFill="1" applyBorder="1" applyAlignment="1">
      <alignment horizontal="center" vertical="center" wrapText="1"/>
    </xf>
    <xf numFmtId="0" fontId="24" fillId="5" borderId="67" xfId="1" applyFont="1" applyFill="1" applyBorder="1" applyAlignment="1">
      <alignment horizontal="center" vertical="center" wrapText="1"/>
    </xf>
    <xf numFmtId="0" fontId="25" fillId="2" borderId="67" xfId="1" applyFont="1" applyFill="1" applyBorder="1" applyAlignment="1">
      <alignment horizontal="center" vertical="center" wrapText="1"/>
    </xf>
    <xf numFmtId="0" fontId="24" fillId="5" borderId="68" xfId="1" applyFont="1" applyFill="1" applyBorder="1" applyAlignment="1">
      <alignment horizontal="center" vertical="center" wrapText="1"/>
    </xf>
    <xf numFmtId="0" fontId="2" fillId="0" borderId="71" xfId="1" applyBorder="1" applyAlignment="1">
      <alignment horizontal="center" vertical="center" wrapText="1"/>
    </xf>
    <xf numFmtId="0" fontId="2" fillId="0" borderId="64" xfId="1" applyBorder="1"/>
    <xf numFmtId="0" fontId="26" fillId="5" borderId="69" xfId="1" applyFont="1" applyFill="1" applyBorder="1" applyAlignment="1">
      <alignment horizontal="center" vertical="center" wrapText="1"/>
    </xf>
    <xf numFmtId="0" fontId="26" fillId="5" borderId="74" xfId="1" applyFont="1" applyFill="1" applyBorder="1"/>
    <xf numFmtId="0" fontId="24" fillId="5" borderId="64" xfId="1" applyFont="1" applyFill="1" applyBorder="1" applyAlignment="1">
      <alignment horizontal="center" vertical="center" wrapText="1"/>
    </xf>
    <xf numFmtId="0" fontId="28" fillId="2" borderId="53" xfId="1" applyFont="1" applyFill="1" applyBorder="1" applyAlignment="1">
      <alignment horizontal="center" vertical="center"/>
    </xf>
    <xf numFmtId="0" fontId="28" fillId="2" borderId="48" xfId="1" applyFont="1" applyFill="1" applyBorder="1" applyAlignment="1">
      <alignment horizontal="center" vertical="center"/>
    </xf>
    <xf numFmtId="0" fontId="28" fillId="2" borderId="71" xfId="1" applyFont="1" applyFill="1" applyBorder="1" applyAlignment="1">
      <alignment horizontal="center" vertical="center"/>
    </xf>
    <xf numFmtId="0" fontId="28" fillId="2" borderId="73" xfId="1" applyFont="1" applyFill="1" applyBorder="1" applyAlignment="1">
      <alignment horizontal="center" vertical="center"/>
    </xf>
    <xf numFmtId="0" fontId="29" fillId="0" borderId="53" xfId="1" applyFont="1" applyBorder="1" applyAlignment="1">
      <alignment horizontal="center"/>
    </xf>
    <xf numFmtId="0" fontId="29" fillId="0" borderId="54" xfId="1" applyFont="1" applyBorder="1" applyAlignment="1">
      <alignment horizontal="center"/>
    </xf>
    <xf numFmtId="0" fontId="29" fillId="0" borderId="48" xfId="1" applyFont="1" applyBorder="1" applyAlignment="1">
      <alignment horizontal="center"/>
    </xf>
    <xf numFmtId="0" fontId="29" fillId="0" borderId="71" xfId="1" applyFont="1" applyBorder="1" applyAlignment="1">
      <alignment horizontal="center"/>
    </xf>
    <xf numFmtId="0" fontId="29" fillId="0" borderId="72" xfId="1" applyFont="1" applyBorder="1" applyAlignment="1">
      <alignment horizontal="center"/>
    </xf>
    <xf numFmtId="0" fontId="29" fillId="0" borderId="73" xfId="1" applyFont="1" applyBorder="1" applyAlignment="1">
      <alignment horizontal="center"/>
    </xf>
    <xf numFmtId="0" fontId="27" fillId="2" borderId="53" xfId="1" applyFont="1" applyFill="1" applyBorder="1" applyAlignment="1">
      <alignment horizontal="center" vertical="center"/>
    </xf>
    <xf numFmtId="0" fontId="27" fillId="2" borderId="54" xfId="1" applyFont="1" applyFill="1" applyBorder="1" applyAlignment="1">
      <alignment horizontal="center" vertical="center"/>
    </xf>
    <xf numFmtId="0" fontId="27" fillId="2" borderId="78" xfId="1" applyFont="1" applyFill="1" applyBorder="1" applyAlignment="1">
      <alignment horizontal="center" vertical="center"/>
    </xf>
    <xf numFmtId="0" fontId="27" fillId="2" borderId="71" xfId="1" applyFont="1" applyFill="1" applyBorder="1" applyAlignment="1">
      <alignment horizontal="center" vertical="center"/>
    </xf>
    <xf numFmtId="0" fontId="27" fillId="2" borderId="72" xfId="1" applyFont="1" applyFill="1" applyBorder="1" applyAlignment="1">
      <alignment horizontal="center" vertical="center"/>
    </xf>
    <xf numFmtId="0" fontId="27" fillId="2" borderId="79" xfId="1" applyFont="1" applyFill="1" applyBorder="1" applyAlignment="1">
      <alignment horizontal="center" vertical="center"/>
    </xf>
    <xf numFmtId="0" fontId="27" fillId="2" borderId="75" xfId="1" applyFont="1" applyFill="1" applyBorder="1" applyAlignment="1">
      <alignment horizontal="center"/>
    </xf>
    <xf numFmtId="0" fontId="27" fillId="2" borderId="48" xfId="1" applyFont="1" applyFill="1" applyBorder="1" applyAlignment="1">
      <alignment horizontal="center"/>
    </xf>
    <xf numFmtId="0" fontId="27" fillId="2" borderId="77" xfId="1" applyFont="1" applyFill="1" applyBorder="1" applyAlignment="1">
      <alignment horizontal="center"/>
    </xf>
    <xf numFmtId="0" fontId="27" fillId="2" borderId="73" xfId="1" applyFont="1" applyFill="1" applyBorder="1" applyAlignment="1">
      <alignment horizontal="center"/>
    </xf>
    <xf numFmtId="0" fontId="27" fillId="2" borderId="53" xfId="1" applyFont="1" applyFill="1" applyBorder="1" applyAlignment="1">
      <alignment horizontal="center" vertical="center" wrapText="1"/>
    </xf>
    <xf numFmtId="0" fontId="27" fillId="2" borderId="54" xfId="1" applyFont="1" applyFill="1" applyBorder="1" applyAlignment="1">
      <alignment horizontal="center" vertical="center" wrapText="1"/>
    </xf>
    <xf numFmtId="0" fontId="27" fillId="2" borderId="71" xfId="1" applyFont="1" applyFill="1" applyBorder="1" applyAlignment="1">
      <alignment horizontal="center" vertical="center" wrapText="1"/>
    </xf>
    <xf numFmtId="0" fontId="27" fillId="2" borderId="72" xfId="1" applyFont="1" applyFill="1" applyBorder="1" applyAlignment="1">
      <alignment horizontal="center" vertical="center" wrapText="1"/>
    </xf>
    <xf numFmtId="0" fontId="27" fillId="2" borderId="76" xfId="1" applyFont="1" applyFill="1" applyBorder="1" applyAlignment="1">
      <alignment horizontal="center" vertical="center"/>
    </xf>
    <xf numFmtId="0" fontId="27" fillId="2" borderId="49" xfId="1" applyFont="1" applyFill="1" applyBorder="1" applyAlignment="1">
      <alignment horizontal="center" vertical="center"/>
    </xf>
    <xf numFmtId="0" fontId="27" fillId="2" borderId="5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71" xfId="1" applyFont="1" applyFill="1" applyBorder="1" applyAlignment="1">
      <alignment horizontal="center"/>
    </xf>
    <xf numFmtId="0" fontId="27" fillId="2" borderId="72" xfId="1" applyFont="1" applyFill="1" applyBorder="1" applyAlignment="1">
      <alignment horizontal="center"/>
    </xf>
    <xf numFmtId="0" fontId="27" fillId="0" borderId="53" xfId="1" applyFont="1" applyBorder="1" applyAlignment="1">
      <alignment horizontal="center" vertical="center"/>
    </xf>
    <xf numFmtId="0" fontId="27" fillId="0" borderId="54" xfId="1" applyFont="1" applyBorder="1" applyAlignment="1">
      <alignment horizontal="center" vertical="center"/>
    </xf>
    <xf numFmtId="0" fontId="27" fillId="0" borderId="48" xfId="1" applyFont="1" applyBorder="1" applyAlignment="1">
      <alignment horizontal="center" vertical="center"/>
    </xf>
    <xf numFmtId="0" fontId="27" fillId="0" borderId="71" xfId="1" applyFont="1" applyBorder="1" applyAlignment="1">
      <alignment horizontal="center" vertical="center"/>
    </xf>
    <xf numFmtId="0" fontId="27" fillId="0" borderId="72" xfId="1" applyFont="1" applyBorder="1" applyAlignment="1">
      <alignment horizontal="center" vertical="center"/>
    </xf>
    <xf numFmtId="0" fontId="27" fillId="0" borderId="73" xfId="1" applyFont="1" applyBorder="1" applyAlignment="1">
      <alignment horizontal="center" vertical="center"/>
    </xf>
    <xf numFmtId="0" fontId="27" fillId="0" borderId="53" xfId="1" applyFont="1" applyBorder="1" applyAlignment="1">
      <alignment horizontal="center" vertical="center" wrapText="1"/>
    </xf>
    <xf numFmtId="0" fontId="27" fillId="0" borderId="54" xfId="1" applyFont="1" applyBorder="1" applyAlignment="1">
      <alignment horizontal="center" vertical="center" wrapText="1"/>
    </xf>
    <xf numFmtId="0" fontId="27" fillId="0" borderId="48" xfId="1" applyFont="1" applyBorder="1" applyAlignment="1">
      <alignment horizontal="center" vertical="center" wrapText="1"/>
    </xf>
    <xf numFmtId="0" fontId="27" fillId="0" borderId="71" xfId="1" applyFont="1" applyBorder="1" applyAlignment="1">
      <alignment horizontal="center" vertical="center" wrapText="1"/>
    </xf>
    <xf numFmtId="0" fontId="27" fillId="0" borderId="72" xfId="1" applyFont="1" applyBorder="1" applyAlignment="1">
      <alignment horizontal="center" vertical="center" wrapText="1"/>
    </xf>
    <xf numFmtId="0" fontId="27" fillId="0" borderId="73" xfId="1" applyFont="1" applyBorder="1" applyAlignment="1">
      <alignment horizontal="center" vertical="center" wrapText="1"/>
    </xf>
    <xf numFmtId="0" fontId="27" fillId="2" borderId="78" xfId="1" applyFont="1" applyFill="1" applyBorder="1" applyAlignment="1">
      <alignment horizontal="center" vertical="center" wrapText="1"/>
    </xf>
    <xf numFmtId="0" fontId="27" fillId="2" borderId="79" xfId="1" applyFont="1" applyFill="1" applyBorder="1" applyAlignment="1">
      <alignment horizontal="center" vertical="center" wrapText="1"/>
    </xf>
    <xf numFmtId="0" fontId="27" fillId="2" borderId="31" xfId="1" applyFont="1" applyFill="1" applyBorder="1" applyAlignment="1">
      <alignment horizontal="center"/>
    </xf>
    <xf numFmtId="0" fontId="27" fillId="2" borderId="30" xfId="1" applyFont="1" applyFill="1" applyBorder="1" applyAlignment="1">
      <alignment horizontal="center"/>
    </xf>
    <xf numFmtId="0" fontId="27" fillId="2" borderId="41" xfId="1" applyFont="1" applyFill="1" applyBorder="1" applyAlignment="1">
      <alignment horizontal="center"/>
    </xf>
    <xf numFmtId="0" fontId="30" fillId="2" borderId="71" xfId="1" applyFont="1" applyFill="1" applyBorder="1" applyAlignment="1">
      <alignment horizontal="left" vertical="center" wrapText="1"/>
    </xf>
    <xf numFmtId="0" fontId="30" fillId="2" borderId="72" xfId="1" applyFont="1" applyFill="1" applyBorder="1" applyAlignment="1">
      <alignment horizontal="left" vertical="center" wrapText="1"/>
    </xf>
    <xf numFmtId="0" fontId="30" fillId="2" borderId="73" xfId="1" applyFont="1" applyFill="1" applyBorder="1" applyAlignment="1">
      <alignment horizontal="left" vertical="center" wrapText="1"/>
    </xf>
    <xf numFmtId="0" fontId="27" fillId="0" borderId="2" xfId="1" applyFont="1" applyBorder="1" applyAlignment="1">
      <alignment horizontal="center"/>
    </xf>
    <xf numFmtId="0" fontId="27" fillId="0" borderId="42" xfId="1" applyFont="1" applyBorder="1" applyAlignment="1">
      <alignment horizontal="center"/>
    </xf>
    <xf numFmtId="0" fontId="27" fillId="0" borderId="5" xfId="1" applyFont="1" applyBorder="1" applyAlignment="1">
      <alignment horizontal="center"/>
    </xf>
    <xf numFmtId="0" fontId="27" fillId="2" borderId="2" xfId="1" applyFont="1" applyFill="1" applyBorder="1" applyAlignment="1">
      <alignment horizontal="center"/>
    </xf>
    <xf numFmtId="0" fontId="27" fillId="2" borderId="42" xfId="1" applyFont="1" applyFill="1" applyBorder="1" applyAlignment="1">
      <alignment horizontal="center"/>
    </xf>
    <xf numFmtId="0" fontId="27" fillId="2" borderId="5" xfId="1" applyFont="1" applyFill="1" applyBorder="1" applyAlignment="1">
      <alignment horizontal="center"/>
    </xf>
    <xf numFmtId="0" fontId="27" fillId="0" borderId="2" xfId="1" applyFont="1" applyBorder="1" applyAlignment="1">
      <alignment horizontal="center" vertical="center"/>
    </xf>
    <xf numFmtId="0" fontId="27" fillId="0" borderId="42" xfId="1" applyFont="1" applyBorder="1" applyAlignment="1">
      <alignment horizontal="center" vertical="center"/>
    </xf>
    <xf numFmtId="0" fontId="27" fillId="0" borderId="5" xfId="1" applyFont="1" applyBorder="1" applyAlignment="1">
      <alignment horizontal="center" vertical="center"/>
    </xf>
    <xf numFmtId="0" fontId="27" fillId="0" borderId="53" xfId="1" applyFont="1" applyBorder="1" applyAlignment="1">
      <alignment horizontal="center"/>
    </xf>
    <xf numFmtId="0" fontId="27" fillId="0" borderId="54" xfId="1" applyFont="1" applyBorder="1" applyAlignment="1">
      <alignment horizontal="center"/>
    </xf>
    <xf numFmtId="0" fontId="27" fillId="0" borderId="48" xfId="1" applyFont="1" applyBorder="1" applyAlignment="1">
      <alignment horizontal="center"/>
    </xf>
    <xf numFmtId="0" fontId="27" fillId="0" borderId="57" xfId="1" applyFont="1" applyBorder="1" applyAlignment="1">
      <alignment horizontal="center"/>
    </xf>
    <xf numFmtId="0" fontId="27" fillId="0" borderId="0" xfId="1" applyFont="1" applyAlignment="1">
      <alignment horizontal="center"/>
    </xf>
    <xf numFmtId="0" fontId="27" fillId="0" borderId="7" xfId="1" applyFont="1" applyBorder="1" applyAlignment="1">
      <alignment horizontal="center"/>
    </xf>
    <xf numFmtId="0" fontId="27" fillId="0" borderId="71" xfId="1" applyFont="1" applyBorder="1" applyAlignment="1">
      <alignment horizontal="center"/>
    </xf>
    <xf numFmtId="0" fontId="27" fillId="0" borderId="72" xfId="1" applyFont="1" applyBorder="1" applyAlignment="1">
      <alignment horizontal="center"/>
    </xf>
    <xf numFmtId="0" fontId="27" fillId="0" borderId="73" xfId="1" applyFont="1" applyBorder="1" applyAlignment="1">
      <alignment horizontal="center"/>
    </xf>
    <xf numFmtId="0" fontId="27" fillId="2" borderId="57" xfId="1" applyFont="1" applyFill="1" applyBorder="1" applyAlignment="1">
      <alignment horizontal="center"/>
    </xf>
    <xf numFmtId="0" fontId="27" fillId="2" borderId="0" xfId="1" applyFont="1" applyFill="1" applyAlignment="1">
      <alignment horizontal="center"/>
    </xf>
    <xf numFmtId="0" fontId="27" fillId="2" borderId="7" xfId="1" applyFont="1" applyFill="1" applyBorder="1" applyAlignment="1">
      <alignment horizontal="center"/>
    </xf>
    <xf numFmtId="0" fontId="27" fillId="0" borderId="57" xfId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7" fillId="0" borderId="7" xfId="1" applyFont="1" applyBorder="1" applyAlignment="1">
      <alignment horizontal="center" vertical="center"/>
    </xf>
    <xf numFmtId="0" fontId="27" fillId="2" borderId="80" xfId="1" applyFont="1" applyFill="1" applyBorder="1" applyAlignment="1">
      <alignment horizontal="center" vertical="center"/>
    </xf>
    <xf numFmtId="0" fontId="27" fillId="0" borderId="86" xfId="1" applyFont="1" applyBorder="1" applyAlignment="1">
      <alignment horizontal="center"/>
    </xf>
    <xf numFmtId="0" fontId="27" fillId="0" borderId="87" xfId="1" applyFont="1" applyBorder="1" applyAlignment="1">
      <alignment horizontal="center"/>
    </xf>
    <xf numFmtId="0" fontId="27" fillId="0" borderId="88" xfId="1" applyFont="1" applyBorder="1" applyAlignment="1">
      <alignment horizontal="center"/>
    </xf>
    <xf numFmtId="0" fontId="27" fillId="0" borderId="90" xfId="1" applyFont="1" applyBorder="1" applyAlignment="1">
      <alignment horizontal="center"/>
    </xf>
    <xf numFmtId="0" fontId="27" fillId="0" borderId="91" xfId="1" applyFont="1" applyBorder="1" applyAlignment="1">
      <alignment horizontal="center"/>
    </xf>
    <xf numFmtId="0" fontId="27" fillId="0" borderId="92" xfId="1" applyFont="1" applyBorder="1" applyAlignment="1">
      <alignment horizontal="center"/>
    </xf>
    <xf numFmtId="0" fontId="27" fillId="2" borderId="86" xfId="1" applyFont="1" applyFill="1" applyBorder="1" applyAlignment="1">
      <alignment horizontal="center" vertical="center"/>
    </xf>
    <xf numFmtId="0" fontId="27" fillId="2" borderId="87" xfId="1" applyFont="1" applyFill="1" applyBorder="1" applyAlignment="1">
      <alignment horizontal="center" vertical="center"/>
    </xf>
    <xf numFmtId="0" fontId="27" fillId="2" borderId="88" xfId="1" applyFont="1" applyFill="1" applyBorder="1" applyAlignment="1">
      <alignment horizontal="center" vertical="center"/>
    </xf>
    <xf numFmtId="0" fontId="27" fillId="2" borderId="90" xfId="1" applyFont="1" applyFill="1" applyBorder="1" applyAlignment="1">
      <alignment horizontal="center" vertical="center"/>
    </xf>
    <xf numFmtId="0" fontId="27" fillId="2" borderId="91" xfId="1" applyFont="1" applyFill="1" applyBorder="1" applyAlignment="1">
      <alignment horizontal="center" vertical="center"/>
    </xf>
    <xf numFmtId="0" fontId="27" fillId="2" borderId="92" xfId="1" applyFont="1" applyFill="1" applyBorder="1" applyAlignment="1">
      <alignment horizontal="center" vertical="center"/>
    </xf>
    <xf numFmtId="0" fontId="28" fillId="2" borderId="86" xfId="1" applyFont="1" applyFill="1" applyBorder="1" applyAlignment="1">
      <alignment horizontal="center" vertical="center"/>
    </xf>
    <xf numFmtId="0" fontId="28" fillId="2" borderId="88" xfId="1" applyFont="1" applyFill="1" applyBorder="1" applyAlignment="1">
      <alignment horizontal="center" vertical="center"/>
    </xf>
    <xf numFmtId="0" fontId="28" fillId="2" borderId="57" xfId="1" applyFont="1" applyFill="1" applyBorder="1" applyAlignment="1">
      <alignment horizontal="center" vertical="center"/>
    </xf>
    <xf numFmtId="0" fontId="28" fillId="2" borderId="7" xfId="1" applyFont="1" applyFill="1" applyBorder="1" applyAlignment="1">
      <alignment horizontal="center" vertical="center"/>
    </xf>
    <xf numFmtId="0" fontId="28" fillId="2" borderId="90" xfId="1" applyFont="1" applyFill="1" applyBorder="1" applyAlignment="1">
      <alignment horizontal="center" vertical="center"/>
    </xf>
    <xf numFmtId="0" fontId="28" fillId="2" borderId="92" xfId="1" applyFont="1" applyFill="1" applyBorder="1" applyAlignment="1">
      <alignment horizontal="center" vertical="center"/>
    </xf>
    <xf numFmtId="0" fontId="27" fillId="2" borderId="57" xfId="1" applyFont="1" applyFill="1" applyBorder="1" applyAlignment="1">
      <alignment horizontal="center" vertical="center"/>
    </xf>
    <xf numFmtId="0" fontId="27" fillId="2" borderId="0" xfId="1" applyFont="1" applyFill="1" applyAlignment="1">
      <alignment horizontal="center" vertical="center"/>
    </xf>
    <xf numFmtId="0" fontId="27" fillId="2" borderId="7" xfId="1" applyFont="1" applyFill="1" applyBorder="1" applyAlignment="1">
      <alignment horizontal="center" vertical="center"/>
    </xf>
    <xf numFmtId="0" fontId="27" fillId="0" borderId="83" xfId="1" applyFont="1" applyBorder="1" applyAlignment="1">
      <alignment horizontal="center"/>
    </xf>
    <xf numFmtId="0" fontId="27" fillId="0" borderId="84" xfId="1" applyFont="1" applyBorder="1" applyAlignment="1">
      <alignment horizontal="center"/>
    </xf>
    <xf numFmtId="0" fontId="27" fillId="0" borderId="85" xfId="1" applyFont="1" applyBorder="1" applyAlignment="1">
      <alignment horizontal="center"/>
    </xf>
    <xf numFmtId="0" fontId="27" fillId="0" borderId="90" xfId="1" applyFont="1" applyBorder="1" applyAlignment="1">
      <alignment horizontal="center" vertical="center"/>
    </xf>
    <xf numFmtId="0" fontId="27" fillId="0" borderId="91" xfId="1" applyFont="1" applyBorder="1" applyAlignment="1">
      <alignment horizontal="center" vertical="center"/>
    </xf>
    <xf numFmtId="0" fontId="27" fillId="0" borderId="92" xfId="1" applyFont="1" applyBorder="1" applyAlignment="1">
      <alignment horizontal="center" vertical="center"/>
    </xf>
    <xf numFmtId="0" fontId="27" fillId="2" borderId="83" xfId="1" applyFont="1" applyFill="1" applyBorder="1" applyAlignment="1">
      <alignment horizontal="center"/>
    </xf>
    <xf numFmtId="0" fontId="27" fillId="2" borderId="84" xfId="1" applyFont="1" applyFill="1" applyBorder="1" applyAlignment="1">
      <alignment horizontal="center"/>
    </xf>
    <xf numFmtId="0" fontId="27" fillId="2" borderId="85" xfId="1" applyFont="1" applyFill="1" applyBorder="1" applyAlignment="1">
      <alignment horizontal="center"/>
    </xf>
    <xf numFmtId="0" fontId="27" fillId="2" borderId="48" xfId="1" applyFont="1" applyFill="1" applyBorder="1" applyAlignment="1">
      <alignment horizontal="center" vertical="center"/>
    </xf>
    <xf numFmtId="0" fontId="27" fillId="2" borderId="73" xfId="1" applyFont="1" applyFill="1" applyBorder="1" applyAlignment="1">
      <alignment horizontal="center" vertical="center"/>
    </xf>
    <xf numFmtId="0" fontId="32" fillId="2" borderId="57" xfId="1" applyFont="1" applyFill="1" applyBorder="1" applyAlignment="1">
      <alignment horizontal="center"/>
    </xf>
    <xf numFmtId="0" fontId="32" fillId="2" borderId="7" xfId="1" applyFont="1" applyFill="1" applyBorder="1" applyAlignment="1">
      <alignment horizontal="center"/>
    </xf>
    <xf numFmtId="0" fontId="27" fillId="2" borderId="36" xfId="1" applyFont="1" applyFill="1" applyBorder="1" applyAlignment="1">
      <alignment horizontal="center"/>
    </xf>
    <xf numFmtId="0" fontId="27" fillId="2" borderId="35" xfId="1" applyFont="1" applyFill="1" applyBorder="1" applyAlignment="1">
      <alignment horizontal="center"/>
    </xf>
    <xf numFmtId="0" fontId="27" fillId="2" borderId="82" xfId="1" applyFont="1" applyFill="1" applyBorder="1" applyAlignment="1">
      <alignment horizontal="center"/>
    </xf>
    <xf numFmtId="0" fontId="27" fillId="0" borderId="86" xfId="1" applyFont="1" applyBorder="1" applyAlignment="1">
      <alignment horizontal="center" vertical="center"/>
    </xf>
    <xf numFmtId="0" fontId="27" fillId="0" borderId="87" xfId="1" applyFont="1" applyBorder="1" applyAlignment="1">
      <alignment horizontal="center" vertical="center"/>
    </xf>
    <xf numFmtId="0" fontId="27" fillId="0" borderId="88" xfId="1" applyFont="1" applyBorder="1" applyAlignment="1">
      <alignment horizontal="center" vertical="center"/>
    </xf>
    <xf numFmtId="0" fontId="27" fillId="2" borderId="86" xfId="1" applyFont="1" applyFill="1" applyBorder="1" applyAlignment="1">
      <alignment horizontal="center"/>
    </xf>
    <xf numFmtId="0" fontId="27" fillId="2" borderId="87" xfId="1" applyFont="1" applyFill="1" applyBorder="1" applyAlignment="1">
      <alignment horizontal="center"/>
    </xf>
    <xf numFmtId="0" fontId="27" fillId="2" borderId="88" xfId="1" applyFont="1" applyFill="1" applyBorder="1" applyAlignment="1">
      <alignment horizontal="center"/>
    </xf>
    <xf numFmtId="0" fontId="27" fillId="2" borderId="17" xfId="1" applyFont="1" applyFill="1" applyBorder="1" applyAlignment="1">
      <alignment horizontal="center" vertical="center"/>
    </xf>
    <xf numFmtId="0" fontId="27" fillId="2" borderId="6" xfId="1" applyFont="1" applyFill="1" applyBorder="1" applyAlignment="1">
      <alignment horizontal="center"/>
    </xf>
    <xf numFmtId="0" fontId="27" fillId="2" borderId="81" xfId="1" applyFont="1" applyFill="1" applyBorder="1" applyAlignment="1">
      <alignment horizontal="center" vertical="center"/>
    </xf>
    <xf numFmtId="0" fontId="27" fillId="0" borderId="53" xfId="1" quotePrefix="1" applyFont="1" applyBorder="1" applyAlignment="1">
      <alignment horizontal="center"/>
    </xf>
    <xf numFmtId="0" fontId="27" fillId="0" borderId="54" xfId="1" quotePrefix="1" applyFont="1" applyBorder="1" applyAlignment="1">
      <alignment horizontal="center"/>
    </xf>
    <xf numFmtId="0" fontId="27" fillId="0" borderId="48" xfId="1" quotePrefix="1" applyFont="1" applyBorder="1" applyAlignment="1">
      <alignment horizontal="center"/>
    </xf>
    <xf numFmtId="0" fontId="27" fillId="0" borderId="57" xfId="1" quotePrefix="1" applyFont="1" applyBorder="1" applyAlignment="1">
      <alignment horizontal="center"/>
    </xf>
    <xf numFmtId="0" fontId="27" fillId="0" borderId="0" xfId="1" quotePrefix="1" applyFont="1" applyAlignment="1">
      <alignment horizontal="center"/>
    </xf>
    <xf numFmtId="0" fontId="27" fillId="0" borderId="7" xfId="1" quotePrefix="1" applyFont="1" applyBorder="1" applyAlignment="1">
      <alignment horizontal="center"/>
    </xf>
    <xf numFmtId="0" fontId="27" fillId="0" borderId="71" xfId="1" quotePrefix="1" applyFont="1" applyBorder="1" applyAlignment="1">
      <alignment horizontal="center"/>
    </xf>
    <xf numFmtId="0" fontId="27" fillId="0" borderId="72" xfId="1" quotePrefix="1" applyFont="1" applyBorder="1" applyAlignment="1">
      <alignment horizontal="center"/>
    </xf>
    <xf numFmtId="0" fontId="27" fillId="0" borderId="73" xfId="1" quotePrefix="1" applyFont="1" applyBorder="1" applyAlignment="1">
      <alignment horizontal="center"/>
    </xf>
    <xf numFmtId="0" fontId="27" fillId="2" borderId="57" xfId="1" applyFont="1" applyFill="1" applyBorder="1" applyAlignment="1">
      <alignment horizontal="center" vertical="center" wrapText="1"/>
    </xf>
    <xf numFmtId="0" fontId="27" fillId="2" borderId="0" xfId="1" applyFont="1" applyFill="1" applyAlignment="1">
      <alignment horizontal="center" vertical="center" wrapText="1"/>
    </xf>
    <xf numFmtId="0" fontId="27" fillId="2" borderId="94" xfId="1" applyFont="1" applyFill="1" applyBorder="1" applyAlignment="1">
      <alignment horizontal="center"/>
    </xf>
    <xf numFmtId="0" fontId="27" fillId="2" borderId="95" xfId="1" applyFont="1" applyFill="1" applyBorder="1" applyAlignment="1">
      <alignment horizontal="center"/>
    </xf>
    <xf numFmtId="0" fontId="27" fillId="2" borderId="51" xfId="1" applyFont="1" applyFill="1" applyBorder="1" applyAlignment="1">
      <alignment horizontal="center"/>
    </xf>
    <xf numFmtId="0" fontId="27" fillId="2" borderId="96" xfId="1" applyFont="1" applyFill="1" applyBorder="1" applyAlignment="1">
      <alignment horizontal="center"/>
    </xf>
    <xf numFmtId="0" fontId="27" fillId="0" borderId="53" xfId="1" quotePrefix="1" applyFont="1" applyBorder="1" applyAlignment="1">
      <alignment horizontal="center" vertical="center"/>
    </xf>
    <xf numFmtId="0" fontId="27" fillId="0" borderId="54" xfId="1" quotePrefix="1" applyFont="1" applyBorder="1" applyAlignment="1">
      <alignment horizontal="center" vertical="center"/>
    </xf>
    <xf numFmtId="0" fontId="27" fillId="0" borderId="48" xfId="1" quotePrefix="1" applyFont="1" applyBorder="1" applyAlignment="1">
      <alignment horizontal="center" vertical="center"/>
    </xf>
    <xf numFmtId="0" fontId="27" fillId="0" borderId="71" xfId="1" quotePrefix="1" applyFont="1" applyBorder="1" applyAlignment="1">
      <alignment horizontal="center" vertical="center"/>
    </xf>
    <xf numFmtId="0" fontId="27" fillId="0" borderId="72" xfId="1" quotePrefix="1" applyFont="1" applyBorder="1" applyAlignment="1">
      <alignment horizontal="center" vertical="center"/>
    </xf>
    <xf numFmtId="0" fontId="27" fillId="0" borderId="73" xfId="1" quotePrefix="1" applyFont="1" applyBorder="1" applyAlignment="1">
      <alignment horizontal="center" vertical="center"/>
    </xf>
    <xf numFmtId="0" fontId="27" fillId="0" borderId="53" xfId="1" applyFont="1" applyBorder="1" applyAlignment="1">
      <alignment horizontal="left"/>
    </xf>
    <xf numFmtId="0" fontId="27" fillId="0" borderId="54" xfId="1" applyFont="1" applyBorder="1" applyAlignment="1">
      <alignment horizontal="left"/>
    </xf>
    <xf numFmtId="0" fontId="27" fillId="0" borderId="48" xfId="1" applyFont="1" applyBorder="1" applyAlignment="1">
      <alignment horizontal="left"/>
    </xf>
    <xf numFmtId="173" fontId="27" fillId="2" borderId="71" xfId="1" applyNumberFormat="1" applyFont="1" applyFill="1" applyBorder="1" applyAlignment="1">
      <alignment horizontal="left" wrapText="1"/>
    </xf>
    <xf numFmtId="0" fontId="33" fillId="0" borderId="72" xfId="1" applyFont="1" applyBorder="1" applyAlignment="1">
      <alignment horizontal="left" wrapText="1"/>
    </xf>
    <xf numFmtId="0" fontId="33" fillId="0" borderId="73" xfId="1" applyFont="1" applyBorder="1" applyAlignment="1">
      <alignment horizontal="left" wrapText="1"/>
    </xf>
    <xf numFmtId="0" fontId="27" fillId="0" borderId="1" xfId="1" applyFont="1" applyBorder="1" applyAlignment="1">
      <alignment horizontal="center" vertical="center"/>
    </xf>
    <xf numFmtId="0" fontId="34" fillId="2" borderId="81" xfId="1" applyFont="1" applyFill="1" applyBorder="1" applyAlignment="1">
      <alignment horizontal="center" vertical="center" wrapText="1"/>
    </xf>
    <xf numFmtId="0" fontId="27" fillId="2" borderId="81" xfId="1" applyFont="1" applyFill="1" applyBorder="1" applyAlignment="1">
      <alignment horizontal="center" vertical="center" wrapText="1"/>
    </xf>
    <xf numFmtId="0" fontId="27" fillId="2" borderId="49" xfId="1" applyFont="1" applyFill="1" applyBorder="1" applyAlignment="1">
      <alignment horizontal="center" vertical="center" wrapText="1"/>
    </xf>
    <xf numFmtId="0" fontId="27" fillId="0" borderId="71" xfId="1" applyFont="1" applyBorder="1" applyAlignment="1">
      <alignment horizontal="left"/>
    </xf>
    <xf numFmtId="0" fontId="27" fillId="0" borderId="72" xfId="1" applyFont="1" applyBorder="1" applyAlignment="1">
      <alignment horizontal="left"/>
    </xf>
    <xf numFmtId="0" fontId="27" fillId="0" borderId="73" xfId="1" applyFont="1" applyBorder="1" applyAlignment="1">
      <alignment horizontal="left"/>
    </xf>
    <xf numFmtId="0" fontId="9" fillId="2" borderId="71" xfId="1" applyFont="1" applyFill="1" applyBorder="1" applyAlignment="1">
      <alignment horizontal="center"/>
    </xf>
    <xf numFmtId="0" fontId="9" fillId="2" borderId="72" xfId="1" applyFont="1" applyFill="1" applyBorder="1" applyAlignment="1">
      <alignment horizontal="center"/>
    </xf>
    <xf numFmtId="0" fontId="9" fillId="2" borderId="73" xfId="1" applyFont="1" applyFill="1" applyBorder="1" applyAlignment="1">
      <alignment horizontal="center"/>
    </xf>
    <xf numFmtId="0" fontId="9" fillId="2" borderId="72" xfId="1" quotePrefix="1" applyFont="1" applyFill="1" applyBorder="1" applyAlignment="1">
      <alignment horizontal="center"/>
    </xf>
    <xf numFmtId="0" fontId="32" fillId="2" borderId="2" xfId="1" applyFont="1" applyFill="1" applyBorder="1" applyAlignment="1">
      <alignment horizontal="center" vertical="center"/>
    </xf>
    <xf numFmtId="0" fontId="32" fillId="2" borderId="5" xfId="1" applyFont="1" applyFill="1" applyBorder="1" applyAlignment="1">
      <alignment horizontal="center" vertical="center"/>
    </xf>
    <xf numFmtId="0" fontId="27" fillId="0" borderId="2" xfId="1" applyFont="1" applyBorder="1" applyAlignment="1">
      <alignment horizontal="left"/>
    </xf>
    <xf numFmtId="0" fontId="27" fillId="0" borderId="42" xfId="1" applyFont="1" applyBorder="1" applyAlignment="1">
      <alignment horizontal="left"/>
    </xf>
    <xf numFmtId="0" fontId="27" fillId="0" borderId="5" xfId="1" applyFont="1" applyBorder="1" applyAlignment="1">
      <alignment horizontal="left"/>
    </xf>
    <xf numFmtId="0" fontId="27" fillId="2" borderId="2" xfId="1" applyFont="1" applyFill="1" applyBorder="1" applyAlignment="1">
      <alignment horizontal="center" vertical="center"/>
    </xf>
    <xf numFmtId="0" fontId="27" fillId="2" borderId="42" xfId="1" applyFont="1" applyFill="1" applyBorder="1" applyAlignment="1">
      <alignment horizontal="center" vertical="center"/>
    </xf>
    <xf numFmtId="0" fontId="27" fillId="2" borderId="5" xfId="1" applyFont="1" applyFill="1" applyBorder="1" applyAlignment="1">
      <alignment horizontal="center" vertical="center"/>
    </xf>
    <xf numFmtId="0" fontId="9" fillId="2" borderId="21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36" fillId="2" borderId="6" xfId="1" applyFont="1" applyFill="1" applyBorder="1" applyAlignment="1">
      <alignment horizontal="center" vertical="center"/>
    </xf>
    <xf numFmtId="0" fontId="36" fillId="2" borderId="0" xfId="1" applyFont="1" applyFill="1" applyAlignment="1">
      <alignment horizontal="center" vertical="center"/>
    </xf>
    <xf numFmtId="0" fontId="36" fillId="2" borderId="17" xfId="1" applyFont="1" applyFill="1" applyBorder="1" applyAlignment="1">
      <alignment horizontal="center" vertical="center"/>
    </xf>
    <xf numFmtId="0" fontId="36" fillId="2" borderId="23" xfId="1" applyFont="1" applyFill="1" applyBorder="1" applyAlignment="1">
      <alignment horizontal="center" vertical="center"/>
    </xf>
    <xf numFmtId="0" fontId="36" fillId="2" borderId="21" xfId="1" applyFont="1" applyFill="1" applyBorder="1" applyAlignment="1">
      <alignment horizontal="center" vertical="center"/>
    </xf>
    <xf numFmtId="0" fontId="36" fillId="2" borderId="22" xfId="1" applyFont="1" applyFill="1" applyBorder="1" applyAlignment="1">
      <alignment horizontal="center" vertical="center"/>
    </xf>
    <xf numFmtId="0" fontId="6" fillId="2" borderId="29" xfId="1" applyFont="1" applyFill="1" applyBorder="1" applyAlignment="1">
      <alignment horizontal="center" vertical="center"/>
    </xf>
    <xf numFmtId="0" fontId="6" fillId="2" borderId="30" xfId="1" applyFont="1" applyFill="1" applyBorder="1" applyAlignment="1">
      <alignment horizontal="center" vertical="center"/>
    </xf>
    <xf numFmtId="0" fontId="6" fillId="2" borderId="32" xfId="1" applyFont="1" applyFill="1" applyBorder="1" applyAlignment="1">
      <alignment horizontal="center" vertical="center"/>
    </xf>
    <xf numFmtId="0" fontId="6" fillId="6" borderId="31" xfId="1" quotePrefix="1" applyFont="1" applyFill="1" applyBorder="1" applyAlignment="1" applyProtection="1">
      <alignment horizontal="center" vertical="center"/>
      <protection locked="0"/>
    </xf>
    <xf numFmtId="0" fontId="6" fillId="6" borderId="30" xfId="1" quotePrefix="1" applyFont="1" applyFill="1" applyBorder="1" applyAlignment="1" applyProtection="1">
      <alignment horizontal="center" vertical="center"/>
      <protection locked="0"/>
    </xf>
    <xf numFmtId="0" fontId="6" fillId="6" borderId="32" xfId="1" quotePrefix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>
      <alignment horizontal="center" vertical="center"/>
    </xf>
    <xf numFmtId="0" fontId="6" fillId="6" borderId="31" xfId="1" applyFont="1" applyFill="1" applyBorder="1" applyAlignment="1" applyProtection="1">
      <alignment horizontal="center" vertical="center"/>
      <protection locked="0"/>
    </xf>
    <xf numFmtId="0" fontId="6" fillId="6" borderId="30" xfId="1" applyFont="1" applyFill="1" applyBorder="1" applyAlignment="1" applyProtection="1">
      <alignment horizontal="center" vertical="center"/>
      <protection locked="0"/>
    </xf>
    <xf numFmtId="0" fontId="6" fillId="6" borderId="41" xfId="1" applyFont="1" applyFill="1" applyBorder="1" applyAlignment="1" applyProtection="1">
      <alignment horizontal="center" vertical="center"/>
      <protection locked="0"/>
    </xf>
    <xf numFmtId="0" fontId="6" fillId="6" borderId="104" xfId="1" applyFont="1" applyFill="1" applyBorder="1" applyAlignment="1" applyProtection="1">
      <alignment horizontal="center" vertical="center"/>
      <protection locked="0"/>
    </xf>
    <xf numFmtId="0" fontId="6" fillId="6" borderId="35" xfId="1" applyFont="1" applyFill="1" applyBorder="1" applyAlignment="1" applyProtection="1">
      <alignment horizontal="center" vertical="center"/>
      <protection locked="0"/>
    </xf>
    <xf numFmtId="0" fontId="6" fillId="6" borderId="38" xfId="1" applyFont="1" applyFill="1" applyBorder="1" applyAlignment="1" applyProtection="1">
      <alignment horizontal="center" vertical="center"/>
      <protection locked="0"/>
    </xf>
    <xf numFmtId="0" fontId="6" fillId="6" borderId="105" xfId="1" applyFont="1" applyFill="1" applyBorder="1" applyAlignment="1" applyProtection="1">
      <alignment horizontal="center" vertical="center"/>
      <protection locked="0"/>
    </xf>
    <xf numFmtId="0" fontId="6" fillId="6" borderId="9" xfId="1" applyFont="1" applyFill="1" applyBorder="1" applyAlignment="1" applyProtection="1">
      <alignment horizontal="center" vertical="center"/>
      <protection locked="0"/>
    </xf>
    <xf numFmtId="0" fontId="6" fillId="6" borderId="40" xfId="1" applyFont="1" applyFill="1" applyBorder="1" applyAlignment="1" applyProtection="1">
      <alignment horizontal="center" vertical="center"/>
      <protection locked="0"/>
    </xf>
    <xf numFmtId="0" fontId="6" fillId="2" borderId="94" xfId="1" applyFont="1" applyFill="1" applyBorder="1" applyAlignment="1">
      <alignment horizontal="center" vertical="center"/>
    </xf>
    <xf numFmtId="0" fontId="6" fillId="2" borderId="41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left" vertical="center"/>
    </xf>
    <xf numFmtId="0" fontId="6" fillId="2" borderId="26" xfId="1" applyFont="1" applyFill="1" applyBorder="1" applyAlignment="1">
      <alignment horizontal="left" vertical="center"/>
    </xf>
    <xf numFmtId="0" fontId="6" fillId="2" borderId="43" xfId="1" applyFont="1" applyFill="1" applyBorder="1" applyAlignment="1">
      <alignment horizontal="left" vertical="center"/>
    </xf>
    <xf numFmtId="0" fontId="6" fillId="2" borderId="27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6" fillId="2" borderId="43" xfId="1" applyFont="1" applyFill="1" applyBorder="1" applyAlignment="1">
      <alignment horizontal="center" vertical="center"/>
    </xf>
    <xf numFmtId="0" fontId="11" fillId="6" borderId="14" xfId="1" applyFont="1" applyFill="1" applyBorder="1" applyAlignment="1" applyProtection="1">
      <alignment horizontal="center" vertical="center"/>
      <protection locked="0"/>
    </xf>
    <xf numFmtId="0" fontId="11" fillId="6" borderId="12" xfId="1" applyFont="1" applyFill="1" applyBorder="1" applyAlignment="1" applyProtection="1">
      <alignment horizontal="center" vertical="center"/>
      <protection locked="0"/>
    </xf>
    <xf numFmtId="0" fontId="11" fillId="6" borderId="15" xfId="1" applyFont="1" applyFill="1" applyBorder="1" applyAlignment="1" applyProtection="1">
      <alignment horizontal="center" vertical="center"/>
      <protection locked="0"/>
    </xf>
    <xf numFmtId="0" fontId="11" fillId="6" borderId="8" xfId="1" applyFont="1" applyFill="1" applyBorder="1" applyAlignment="1" applyProtection="1">
      <alignment horizontal="center" vertical="center"/>
      <protection locked="0"/>
    </xf>
    <xf numFmtId="0" fontId="11" fillId="6" borderId="9" xfId="1" applyFont="1" applyFill="1" applyBorder="1" applyAlignment="1" applyProtection="1">
      <alignment horizontal="center" vertical="center"/>
      <protection locked="0"/>
    </xf>
    <xf numFmtId="0" fontId="11" fillId="6" borderId="0" xfId="1" applyFont="1" applyFill="1" applyAlignment="1" applyProtection="1">
      <alignment horizontal="center" vertical="center"/>
      <protection locked="0"/>
    </xf>
    <xf numFmtId="0" fontId="11" fillId="6" borderId="40" xfId="1" applyFont="1" applyFill="1" applyBorder="1" applyAlignment="1" applyProtection="1">
      <alignment horizontal="center" vertical="center"/>
      <protection locked="0"/>
    </xf>
    <xf numFmtId="0" fontId="19" fillId="6" borderId="29" xfId="1" applyFont="1" applyFill="1" applyBorder="1" applyAlignment="1" applyProtection="1">
      <alignment horizontal="left" vertical="center"/>
      <protection locked="0"/>
    </xf>
    <xf numFmtId="0" fontId="19" fillId="6" borderId="30" xfId="1" applyFont="1" applyFill="1" applyBorder="1" applyAlignment="1" applyProtection="1">
      <alignment horizontal="left" vertical="center"/>
      <protection locked="0"/>
    </xf>
    <xf numFmtId="0" fontId="19" fillId="6" borderId="32" xfId="1" applyFont="1" applyFill="1" applyBorder="1" applyAlignment="1" applyProtection="1">
      <alignment horizontal="left" vertical="center"/>
      <protection locked="0"/>
    </xf>
    <xf numFmtId="0" fontId="19" fillId="6" borderId="31" xfId="1" applyFont="1" applyFill="1" applyBorder="1" applyAlignment="1" applyProtection="1">
      <alignment horizontal="center" vertical="center"/>
      <protection locked="0"/>
    </xf>
    <xf numFmtId="0" fontId="19" fillId="6" borderId="30" xfId="1" applyFont="1" applyFill="1" applyBorder="1" applyAlignment="1" applyProtection="1">
      <alignment horizontal="center" vertical="center"/>
      <protection locked="0"/>
    </xf>
    <xf numFmtId="0" fontId="19" fillId="6" borderId="32" xfId="1" applyFont="1" applyFill="1" applyBorder="1" applyAlignment="1" applyProtection="1">
      <alignment horizontal="center" vertical="center"/>
      <protection locked="0"/>
    </xf>
    <xf numFmtId="0" fontId="6" fillId="2" borderId="34" xfId="1" applyFont="1" applyFill="1" applyBorder="1" applyAlignment="1">
      <alignment horizontal="center" vertical="center"/>
    </xf>
    <xf numFmtId="0" fontId="6" fillId="2" borderId="35" xfId="1" applyFont="1" applyFill="1" applyBorder="1" applyAlignment="1">
      <alignment horizontal="center" vertical="center"/>
    </xf>
    <xf numFmtId="0" fontId="6" fillId="2" borderId="37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3" borderId="35" xfId="1" applyFont="1" applyFill="1" applyBorder="1" applyAlignment="1" applyProtection="1">
      <alignment horizontal="left" vertical="center"/>
      <protection locked="0"/>
    </xf>
    <xf numFmtId="0" fontId="6" fillId="3" borderId="106" xfId="1" applyFont="1" applyFill="1" applyBorder="1" applyAlignment="1" applyProtection="1">
      <alignment horizontal="left" vertical="center"/>
      <protection locked="0"/>
    </xf>
    <xf numFmtId="0" fontId="43" fillId="2" borderId="107" xfId="1" applyFont="1" applyFill="1" applyBorder="1" applyAlignment="1">
      <alignment horizontal="left" vertical="center"/>
    </xf>
    <xf numFmtId="0" fontId="43" fillId="2" borderId="35" xfId="1" applyFont="1" applyFill="1" applyBorder="1" applyAlignment="1">
      <alignment horizontal="left" vertical="center"/>
    </xf>
    <xf numFmtId="0" fontId="6" fillId="3" borderId="0" xfId="1" applyFont="1" applyFill="1" applyAlignment="1" applyProtection="1">
      <alignment horizontal="left" vertical="center"/>
      <protection locked="0"/>
    </xf>
    <xf numFmtId="0" fontId="6" fillId="3" borderId="108" xfId="1" applyFont="1" applyFill="1" applyBorder="1" applyAlignment="1" applyProtection="1">
      <alignment horizontal="left" vertical="center"/>
      <protection locked="0"/>
    </xf>
    <xf numFmtId="0" fontId="6" fillId="6" borderId="109" xfId="1" applyFont="1" applyFill="1" applyBorder="1" applyAlignment="1" applyProtection="1">
      <alignment horizontal="left" vertical="center"/>
      <protection locked="0"/>
    </xf>
    <xf numFmtId="0" fontId="6" fillId="6" borderId="0" xfId="1" applyFont="1" applyFill="1" applyAlignment="1" applyProtection="1">
      <alignment horizontal="left" vertical="center"/>
      <protection locked="0"/>
    </xf>
    <xf numFmtId="0" fontId="6" fillId="6" borderId="19" xfId="1" applyFont="1" applyFill="1" applyBorder="1" applyAlignment="1" applyProtection="1">
      <alignment horizontal="left" vertical="center"/>
      <protection locked="0"/>
    </xf>
    <xf numFmtId="0" fontId="6" fillId="3" borderId="9" xfId="1" applyFont="1" applyFill="1" applyBorder="1" applyAlignment="1" applyProtection="1">
      <alignment horizontal="left" vertical="center"/>
      <protection locked="0"/>
    </xf>
    <xf numFmtId="0" fontId="6" fillId="3" borderId="110" xfId="1" applyFont="1" applyFill="1" applyBorder="1" applyAlignment="1" applyProtection="1">
      <alignment horizontal="left" vertical="center"/>
      <protection locked="0"/>
    </xf>
    <xf numFmtId="0" fontId="6" fillId="6" borderId="111" xfId="1" applyFont="1" applyFill="1" applyBorder="1" applyAlignment="1" applyProtection="1">
      <alignment horizontal="left" vertical="center"/>
      <protection locked="0"/>
    </xf>
    <xf numFmtId="0" fontId="6" fillId="6" borderId="9" xfId="1" applyFont="1" applyFill="1" applyBorder="1" applyAlignment="1" applyProtection="1">
      <alignment horizontal="left" vertical="center"/>
      <protection locked="0"/>
    </xf>
    <xf numFmtId="0" fontId="6" fillId="6" borderId="40" xfId="1" applyFont="1" applyFill="1" applyBorder="1" applyAlignment="1" applyProtection="1">
      <alignment horizontal="left" vertical="center"/>
      <protection locked="0"/>
    </xf>
    <xf numFmtId="0" fontId="6" fillId="3" borderId="0" xfId="1" quotePrefix="1" applyFont="1" applyFill="1" applyAlignment="1" applyProtection="1">
      <alignment horizontal="left" vertical="center"/>
      <protection locked="0"/>
    </xf>
    <xf numFmtId="0" fontId="6" fillId="2" borderId="35" xfId="1" applyFont="1" applyFill="1" applyBorder="1" applyAlignment="1" applyProtection="1">
      <alignment horizontal="left" vertical="center"/>
      <protection locked="0"/>
    </xf>
    <xf numFmtId="0" fontId="6" fillId="2" borderId="38" xfId="1" applyFont="1" applyFill="1" applyBorder="1" applyAlignment="1" applyProtection="1">
      <alignment horizontal="left" vertical="center"/>
      <protection locked="0"/>
    </xf>
    <xf numFmtId="0" fontId="6" fillId="3" borderId="9" xfId="1" quotePrefix="1" applyFont="1" applyFill="1" applyBorder="1" applyAlignment="1" applyProtection="1">
      <alignment horizontal="left" vertical="center"/>
      <protection locked="0"/>
    </xf>
    <xf numFmtId="0" fontId="38" fillId="2" borderId="0" xfId="1" applyFont="1" applyFill="1" applyAlignment="1">
      <alignment horizontal="left" vertical="center" wrapText="1"/>
    </xf>
    <xf numFmtId="0" fontId="38" fillId="2" borderId="19" xfId="1" applyFont="1" applyFill="1" applyBorder="1" applyAlignment="1">
      <alignment horizontal="left" vertical="center" wrapText="1"/>
    </xf>
    <xf numFmtId="0" fontId="19" fillId="3" borderId="113" xfId="1" applyFont="1" applyFill="1" applyBorder="1" applyAlignment="1" applyProtection="1">
      <alignment horizontal="left" vertical="center"/>
      <protection locked="0"/>
    </xf>
    <xf numFmtId="0" fontId="6" fillId="6" borderId="6" xfId="1" applyFont="1" applyFill="1" applyBorder="1" applyAlignment="1" applyProtection="1">
      <alignment horizontal="left" vertical="center" wrapText="1"/>
      <protection locked="0"/>
    </xf>
    <xf numFmtId="0" fontId="6" fillId="6" borderId="7" xfId="1" applyFont="1" applyFill="1" applyBorder="1" applyAlignment="1" applyProtection="1">
      <alignment horizontal="left" vertical="center"/>
      <protection locked="0"/>
    </xf>
    <xf numFmtId="0" fontId="6" fillId="6" borderId="8" xfId="1" applyFont="1" applyFill="1" applyBorder="1" applyAlignment="1" applyProtection="1">
      <alignment horizontal="left" vertical="center"/>
      <protection locked="0"/>
    </xf>
    <xf numFmtId="0" fontId="6" fillId="6" borderId="10" xfId="1" applyFont="1" applyFill="1" applyBorder="1" applyAlignment="1" applyProtection="1">
      <alignment horizontal="left" vertical="center"/>
      <protection locked="0"/>
    </xf>
    <xf numFmtId="0" fontId="6" fillId="6" borderId="57" xfId="1" applyFont="1" applyFill="1" applyBorder="1" applyAlignment="1" applyProtection="1">
      <alignment horizontal="left" vertical="center" wrapText="1"/>
      <protection locked="0"/>
    </xf>
    <xf numFmtId="0" fontId="6" fillId="6" borderId="105" xfId="1" applyFont="1" applyFill="1" applyBorder="1" applyAlignment="1" applyProtection="1">
      <alignment horizontal="left" vertical="center"/>
      <protection locked="0"/>
    </xf>
    <xf numFmtId="0" fontId="38" fillId="2" borderId="0" xfId="1" applyFont="1" applyFill="1" applyAlignment="1">
      <alignment horizontal="left" vertical="top" wrapText="1"/>
    </xf>
    <xf numFmtId="0" fontId="6" fillId="2" borderId="34" xfId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center" vertical="center" wrapText="1"/>
    </xf>
    <xf numFmtId="0" fontId="6" fillId="2" borderId="37" xfId="1" applyFont="1" applyFill="1" applyBorder="1" applyAlignment="1">
      <alignment horizontal="center" vertical="center" wrapText="1"/>
    </xf>
    <xf numFmtId="0" fontId="6" fillId="2" borderId="39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6" borderId="36" xfId="1" applyFont="1" applyFill="1" applyBorder="1" applyAlignment="1" applyProtection="1">
      <alignment horizontal="left" vertical="center" wrapText="1"/>
      <protection locked="0"/>
    </xf>
    <xf numFmtId="0" fontId="6" fillId="6" borderId="35" xfId="1" applyFont="1" applyFill="1" applyBorder="1" applyAlignment="1" applyProtection="1">
      <alignment horizontal="left" vertical="center" wrapText="1"/>
      <protection locked="0"/>
    </xf>
    <xf numFmtId="0" fontId="6" fillId="6" borderId="38" xfId="1" applyFont="1" applyFill="1" applyBorder="1" applyAlignment="1" applyProtection="1">
      <alignment horizontal="left" vertical="center" wrapText="1"/>
      <protection locked="0"/>
    </xf>
    <xf numFmtId="0" fontId="6" fillId="6" borderId="8" xfId="1" applyFont="1" applyFill="1" applyBorder="1" applyAlignment="1" applyProtection="1">
      <alignment horizontal="left" vertical="center" wrapText="1"/>
      <protection locked="0"/>
    </xf>
    <xf numFmtId="0" fontId="6" fillId="6" borderId="9" xfId="1" applyFont="1" applyFill="1" applyBorder="1" applyAlignment="1" applyProtection="1">
      <alignment horizontal="left" vertical="center" wrapText="1"/>
      <protection locked="0"/>
    </xf>
    <xf numFmtId="0" fontId="6" fillId="6" borderId="40" xfId="1" applyFont="1" applyFill="1" applyBorder="1" applyAlignment="1" applyProtection="1">
      <alignment horizontal="left" vertical="center" wrapText="1"/>
      <protection locked="0"/>
    </xf>
    <xf numFmtId="0" fontId="6" fillId="6" borderId="30" xfId="1" quotePrefix="1" applyFont="1" applyFill="1" applyBorder="1" applyAlignment="1" applyProtection="1">
      <alignment horizontal="left" vertical="center"/>
      <protection locked="0"/>
    </xf>
    <xf numFmtId="0" fontId="6" fillId="6" borderId="30" xfId="1" applyFont="1" applyFill="1" applyBorder="1" applyAlignment="1" applyProtection="1">
      <alignment horizontal="left" vertical="center"/>
      <protection locked="0"/>
    </xf>
    <xf numFmtId="0" fontId="47" fillId="0" borderId="36" xfId="1" quotePrefix="1" applyFont="1" applyBorder="1" applyAlignment="1" applyProtection="1">
      <alignment horizontal="left" vertical="center" wrapText="1"/>
      <protection locked="0"/>
    </xf>
    <xf numFmtId="0" fontId="47" fillId="0" borderId="35" xfId="1" quotePrefix="1" applyFont="1" applyBorder="1" applyAlignment="1" applyProtection="1">
      <alignment horizontal="left" vertical="center" wrapText="1"/>
      <protection locked="0"/>
    </xf>
    <xf numFmtId="0" fontId="47" fillId="0" borderId="38" xfId="1" quotePrefix="1" applyFont="1" applyBorder="1" applyAlignment="1" applyProtection="1">
      <alignment horizontal="left" vertical="center" wrapText="1"/>
      <protection locked="0"/>
    </xf>
    <xf numFmtId="0" fontId="6" fillId="6" borderId="6" xfId="1" quotePrefix="1" applyFont="1" applyFill="1" applyBorder="1" applyAlignment="1" applyProtection="1">
      <alignment horizontal="left" vertical="center" wrapText="1"/>
      <protection locked="0"/>
    </xf>
    <xf numFmtId="0" fontId="6" fillId="6" borderId="0" xfId="1" quotePrefix="1" applyFont="1" applyFill="1" applyAlignment="1" applyProtection="1">
      <alignment horizontal="left" vertical="center"/>
      <protection locked="0"/>
    </xf>
    <xf numFmtId="0" fontId="6" fillId="6" borderId="19" xfId="1" quotePrefix="1" applyFont="1" applyFill="1" applyBorder="1" applyAlignment="1" applyProtection="1">
      <alignment horizontal="left" vertical="center"/>
      <protection locked="0"/>
    </xf>
    <xf numFmtId="0" fontId="6" fillId="6" borderId="6" xfId="1" quotePrefix="1" applyFont="1" applyFill="1" applyBorder="1" applyAlignment="1" applyProtection="1">
      <alignment horizontal="left" vertical="center"/>
      <protection locked="0"/>
    </xf>
    <xf numFmtId="0" fontId="6" fillId="6" borderId="8" xfId="1" quotePrefix="1" applyFont="1" applyFill="1" applyBorder="1" applyAlignment="1" applyProtection="1">
      <alignment horizontal="left" vertical="center"/>
      <protection locked="0"/>
    </xf>
    <xf numFmtId="0" fontId="6" fillId="6" borderId="9" xfId="1" quotePrefix="1" applyFont="1" applyFill="1" applyBorder="1" applyAlignment="1" applyProtection="1">
      <alignment horizontal="left" vertical="center"/>
      <protection locked="0"/>
    </xf>
    <xf numFmtId="0" fontId="6" fillId="6" borderId="40" xfId="1" quotePrefix="1" applyFont="1" applyFill="1" applyBorder="1" applyAlignment="1" applyProtection="1">
      <alignment horizontal="left" vertical="center"/>
      <protection locked="0"/>
    </xf>
    <xf numFmtId="0" fontId="19" fillId="6" borderId="50" xfId="1" applyFont="1" applyFill="1" applyBorder="1" applyAlignment="1" applyProtection="1">
      <alignment horizontal="center" vertical="center"/>
      <protection locked="0"/>
    </xf>
    <xf numFmtId="0" fontId="19" fillId="6" borderId="51" xfId="1" applyFont="1" applyFill="1" applyBorder="1" applyAlignment="1" applyProtection="1">
      <alignment horizontal="center" vertical="center"/>
      <protection locked="0"/>
    </xf>
    <xf numFmtId="0" fontId="19" fillId="3" borderId="50" xfId="1" applyFont="1" applyFill="1" applyBorder="1" applyAlignment="1" applyProtection="1">
      <alignment horizontal="center" vertical="center"/>
      <protection locked="0"/>
    </xf>
    <xf numFmtId="0" fontId="19" fillId="3" borderId="51" xfId="1" applyFont="1" applyFill="1" applyBorder="1" applyAlignment="1" applyProtection="1">
      <alignment horizontal="center" vertical="center"/>
      <protection locked="0"/>
    </xf>
    <xf numFmtId="0" fontId="19" fillId="3" borderId="52" xfId="1" applyFont="1" applyFill="1" applyBorder="1" applyAlignment="1" applyProtection="1">
      <alignment horizontal="center" vertical="center"/>
      <protection locked="0"/>
    </xf>
    <xf numFmtId="0" fontId="19" fillId="3" borderId="36" xfId="1" applyFont="1" applyFill="1" applyBorder="1" applyAlignment="1" applyProtection="1">
      <alignment horizontal="center" vertical="center"/>
      <protection locked="0"/>
    </xf>
    <xf numFmtId="0" fontId="19" fillId="3" borderId="35" xfId="1" applyFont="1" applyFill="1" applyBorder="1" applyAlignment="1" applyProtection="1">
      <alignment horizontal="center" vertical="center"/>
      <protection locked="0"/>
    </xf>
    <xf numFmtId="0" fontId="19" fillId="3" borderId="38" xfId="1" applyFont="1" applyFill="1" applyBorder="1" applyAlignment="1" applyProtection="1">
      <alignment horizontal="center" vertical="center"/>
      <protection locked="0"/>
    </xf>
    <xf numFmtId="0" fontId="6" fillId="2" borderId="116" xfId="1" applyFont="1" applyFill="1" applyBorder="1" applyAlignment="1" applyProtection="1">
      <alignment horizontal="left" vertical="center"/>
      <protection locked="0"/>
    </xf>
    <xf numFmtId="0" fontId="6" fillId="2" borderId="113" xfId="1" applyFont="1" applyFill="1" applyBorder="1" applyAlignment="1" applyProtection="1">
      <alignment horizontal="left" vertical="center"/>
      <protection locked="0"/>
    </xf>
    <xf numFmtId="0" fontId="6" fillId="2" borderId="117" xfId="1" applyFont="1" applyFill="1" applyBorder="1" applyAlignment="1" applyProtection="1">
      <alignment horizontal="left" vertical="center"/>
      <protection locked="0"/>
    </xf>
    <xf numFmtId="0" fontId="49" fillId="2" borderId="104" xfId="1" applyFont="1" applyFill="1" applyBorder="1" applyAlignment="1">
      <alignment horizontal="left" vertical="center" wrapText="1"/>
    </xf>
    <xf numFmtId="0" fontId="49" fillId="2" borderId="35" xfId="1" applyFont="1" applyFill="1" applyBorder="1" applyAlignment="1">
      <alignment horizontal="left" vertical="center" wrapText="1"/>
    </xf>
    <xf numFmtId="0" fontId="49" fillId="2" borderId="38" xfId="1" applyFont="1" applyFill="1" applyBorder="1" applyAlignment="1">
      <alignment horizontal="left" vertical="center" wrapText="1"/>
    </xf>
    <xf numFmtId="0" fontId="49" fillId="2" borderId="57" xfId="1" applyFont="1" applyFill="1" applyBorder="1" applyAlignment="1">
      <alignment horizontal="left" vertical="center" wrapText="1"/>
    </xf>
    <xf numFmtId="0" fontId="49" fillId="2" borderId="0" xfId="1" applyFont="1" applyFill="1" applyAlignment="1">
      <alignment horizontal="left" vertical="center" wrapText="1"/>
    </xf>
    <xf numFmtId="0" fontId="49" fillId="2" borderId="19" xfId="1" applyFont="1" applyFill="1" applyBorder="1" applyAlignment="1">
      <alignment horizontal="left" vertical="center" wrapText="1"/>
    </xf>
    <xf numFmtId="0" fontId="49" fillId="2" borderId="105" xfId="1" applyFont="1" applyFill="1" applyBorder="1" applyAlignment="1">
      <alignment horizontal="left" vertical="center" wrapText="1"/>
    </xf>
    <xf numFmtId="0" fontId="49" fillId="2" borderId="9" xfId="1" applyFont="1" applyFill="1" applyBorder="1" applyAlignment="1">
      <alignment horizontal="left" vertical="center" wrapText="1"/>
    </xf>
    <xf numFmtId="0" fontId="49" fillId="2" borderId="40" xfId="1" applyFont="1" applyFill="1" applyBorder="1" applyAlignment="1">
      <alignment horizontal="left" vertical="center" wrapText="1"/>
    </xf>
    <xf numFmtId="0" fontId="19" fillId="3" borderId="118" xfId="1" applyFont="1" applyFill="1" applyBorder="1" applyAlignment="1" applyProtection="1">
      <alignment horizontal="center" vertical="center"/>
      <protection locked="0"/>
    </xf>
    <xf numFmtId="0" fontId="19" fillId="3" borderId="119" xfId="1" applyFont="1" applyFill="1" applyBorder="1" applyAlignment="1" applyProtection="1">
      <alignment horizontal="center" vertical="center"/>
      <protection locked="0"/>
    </xf>
    <xf numFmtId="0" fontId="19" fillId="3" borderId="120" xfId="1" applyFont="1" applyFill="1" applyBorder="1" applyAlignment="1" applyProtection="1">
      <alignment horizontal="center" vertical="center"/>
      <protection locked="0"/>
    </xf>
    <xf numFmtId="0" fontId="19" fillId="3" borderId="39" xfId="1" applyFont="1" applyFill="1" applyBorder="1" applyAlignment="1" applyProtection="1">
      <alignment horizontal="center" vertical="center"/>
      <protection locked="0"/>
    </xf>
    <xf numFmtId="0" fontId="19" fillId="3" borderId="9" xfId="1" applyFont="1" applyFill="1" applyBorder="1" applyAlignment="1" applyProtection="1">
      <alignment horizontal="center" vertical="center"/>
      <protection locked="0"/>
    </xf>
    <xf numFmtId="0" fontId="19" fillId="3" borderId="18" xfId="1" applyFont="1" applyFill="1" applyBorder="1" applyAlignment="1" applyProtection="1">
      <alignment horizontal="center" vertical="center"/>
      <protection locked="0"/>
    </xf>
    <xf numFmtId="0" fontId="19" fillId="3" borderId="6" xfId="1" applyFont="1" applyFill="1" applyBorder="1" applyAlignment="1" applyProtection="1">
      <alignment horizontal="center" vertical="center" wrapText="1"/>
      <protection locked="0"/>
    </xf>
    <xf numFmtId="0" fontId="19" fillId="3" borderId="0" xfId="1" applyFont="1" applyFill="1" applyAlignment="1" applyProtection="1">
      <alignment horizontal="center" vertical="center" wrapText="1"/>
      <protection locked="0"/>
    </xf>
    <xf numFmtId="0" fontId="19" fillId="3" borderId="7" xfId="1" applyFont="1" applyFill="1" applyBorder="1" applyAlignment="1" applyProtection="1">
      <alignment horizontal="center" vertical="center" wrapText="1"/>
      <protection locked="0"/>
    </xf>
    <xf numFmtId="0" fontId="19" fillId="3" borderId="8" xfId="1" applyFont="1" applyFill="1" applyBorder="1" applyAlignment="1" applyProtection="1">
      <alignment horizontal="center" vertical="center" wrapText="1"/>
      <protection locked="0"/>
    </xf>
    <xf numFmtId="0" fontId="19" fillId="3" borderId="9" xfId="1" applyFont="1" applyFill="1" applyBorder="1" applyAlignment="1" applyProtection="1">
      <alignment horizontal="center" vertical="center" wrapText="1"/>
      <protection locked="0"/>
    </xf>
    <xf numFmtId="0" fontId="19" fillId="3" borderId="10" xfId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>
      <alignment horizontal="center" vertical="center"/>
    </xf>
    <xf numFmtId="14" fontId="19" fillId="6" borderId="36" xfId="1" applyNumberFormat="1" applyFont="1" applyFill="1" applyBorder="1" applyAlignment="1" applyProtection="1">
      <alignment horizontal="center" vertical="center"/>
      <protection locked="0"/>
    </xf>
    <xf numFmtId="0" fontId="19" fillId="6" borderId="35" xfId="1" applyFont="1" applyFill="1" applyBorder="1" applyAlignment="1" applyProtection="1">
      <alignment horizontal="center" vertical="center"/>
      <protection locked="0"/>
    </xf>
    <xf numFmtId="0" fontId="19" fillId="6" borderId="37" xfId="1" applyFont="1" applyFill="1" applyBorder="1" applyAlignment="1" applyProtection="1">
      <alignment horizontal="center" vertical="center"/>
      <protection locked="0"/>
    </xf>
    <xf numFmtId="0" fontId="19" fillId="6" borderId="6" xfId="1" applyFont="1" applyFill="1" applyBorder="1" applyAlignment="1" applyProtection="1">
      <alignment horizontal="center" vertical="center"/>
      <protection locked="0"/>
    </xf>
    <xf numFmtId="0" fontId="19" fillId="6" borderId="0" xfId="1" applyFont="1" applyFill="1" applyAlignment="1" applyProtection="1">
      <alignment horizontal="center" vertical="center"/>
      <protection locked="0"/>
    </xf>
    <xf numFmtId="0" fontId="19" fillId="6" borderId="17" xfId="1" applyFont="1" applyFill="1" applyBorder="1" applyAlignment="1" applyProtection="1">
      <alignment horizontal="center" vertical="center"/>
      <protection locked="0"/>
    </xf>
    <xf numFmtId="0" fontId="19" fillId="6" borderId="8" xfId="1" applyFont="1" applyFill="1" applyBorder="1" applyAlignment="1" applyProtection="1">
      <alignment horizontal="center" vertical="center"/>
      <protection locked="0"/>
    </xf>
    <xf numFmtId="0" fontId="19" fillId="6" borderId="9" xfId="1" applyFont="1" applyFill="1" applyBorder="1" applyAlignment="1" applyProtection="1">
      <alignment horizontal="center" vertical="center"/>
      <protection locked="0"/>
    </xf>
    <xf numFmtId="0" fontId="19" fillId="6" borderId="18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6" fillId="2" borderId="30" xfId="1" applyFont="1" applyFill="1" applyBorder="1" applyAlignment="1" applyProtection="1">
      <alignment horizontal="center" vertical="center"/>
      <protection locked="0"/>
    </xf>
    <xf numFmtId="0" fontId="6" fillId="2" borderId="32" xfId="1" applyFont="1" applyFill="1" applyBorder="1" applyAlignment="1" applyProtection="1">
      <alignment horizontal="center" vertical="center"/>
      <protection locked="0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19" fillId="6" borderId="31" xfId="1" quotePrefix="1" applyFont="1" applyFill="1" applyBorder="1" applyAlignment="1" applyProtection="1">
      <alignment horizontal="center" vertical="center"/>
      <protection locked="0"/>
    </xf>
    <xf numFmtId="0" fontId="19" fillId="3" borderId="31" xfId="1" applyFont="1" applyFill="1" applyBorder="1" applyAlignment="1" applyProtection="1">
      <alignment horizontal="center" vertical="center"/>
      <protection locked="0"/>
    </xf>
    <xf numFmtId="0" fontId="19" fillId="3" borderId="30" xfId="1" applyFont="1" applyFill="1" applyBorder="1" applyAlignment="1" applyProtection="1">
      <alignment horizontal="center" vertical="center"/>
      <protection locked="0"/>
    </xf>
    <xf numFmtId="0" fontId="19" fillId="3" borderId="32" xfId="1" applyFont="1" applyFill="1" applyBorder="1" applyAlignment="1" applyProtection="1">
      <alignment horizontal="center" vertical="center"/>
      <protection locked="0"/>
    </xf>
    <xf numFmtId="0" fontId="19" fillId="3" borderId="33" xfId="1" applyFont="1" applyFill="1" applyBorder="1" applyAlignment="1" applyProtection="1">
      <alignment horizontal="center" vertical="center"/>
      <protection locked="0"/>
    </xf>
    <xf numFmtId="0" fontId="19" fillId="0" borderId="2" xfId="1" applyFont="1" applyBorder="1" applyAlignment="1" applyProtection="1">
      <alignment horizontal="center" vertical="center"/>
      <protection locked="0"/>
    </xf>
    <xf numFmtId="0" fontId="19" fillId="0" borderId="5" xfId="1" applyFont="1" applyBorder="1" applyAlignment="1" applyProtection="1">
      <alignment horizontal="center" vertical="center"/>
      <protection locked="0"/>
    </xf>
    <xf numFmtId="0" fontId="6" fillId="2" borderId="5" xfId="1" applyFont="1" applyFill="1" applyBorder="1" applyAlignment="1">
      <alignment horizontal="center" vertical="center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6" fillId="6" borderId="32" xfId="1" applyFont="1" applyFill="1" applyBorder="1" applyAlignment="1" applyProtection="1">
      <alignment horizontal="center" vertical="center"/>
      <protection locked="0"/>
    </xf>
    <xf numFmtId="0" fontId="50" fillId="6" borderId="31" xfId="1" applyFont="1" applyFill="1" applyBorder="1" applyAlignment="1" applyProtection="1">
      <alignment horizontal="center" vertical="center"/>
      <protection locked="0"/>
    </xf>
    <xf numFmtId="0" fontId="50" fillId="6" borderId="30" xfId="1" applyFont="1" applyFill="1" applyBorder="1" applyAlignment="1" applyProtection="1">
      <alignment horizontal="center" vertical="center"/>
      <protection locked="0"/>
    </xf>
    <xf numFmtId="0" fontId="50" fillId="6" borderId="32" xfId="1" applyFont="1" applyFill="1" applyBorder="1" applyAlignment="1" applyProtection="1">
      <alignment horizontal="center" vertical="center"/>
      <protection locked="0"/>
    </xf>
    <xf numFmtId="0" fontId="6" fillId="6" borderId="33" xfId="1" applyFont="1" applyFill="1" applyBorder="1" applyAlignment="1" applyProtection="1">
      <alignment horizontal="center" vertical="center"/>
      <protection locked="0"/>
    </xf>
    <xf numFmtId="0" fontId="6" fillId="2" borderId="111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/>
    </xf>
    <xf numFmtId="0" fontId="18" fillId="2" borderId="110" xfId="1" applyFont="1" applyFill="1" applyBorder="1" applyAlignment="1">
      <alignment horizontal="center" vertical="center"/>
    </xf>
    <xf numFmtId="0" fontId="19" fillId="6" borderId="122" xfId="1" applyFont="1" applyFill="1" applyBorder="1" applyAlignment="1" applyProtection="1">
      <alignment horizontal="center" vertical="center"/>
      <protection locked="0"/>
    </xf>
    <xf numFmtId="0" fontId="6" fillId="2" borderId="30" xfId="1" applyFont="1" applyFill="1" applyBorder="1" applyAlignment="1">
      <alignment horizontal="left" vertical="center"/>
    </xf>
    <xf numFmtId="0" fontId="6" fillId="2" borderId="123" xfId="1" applyFont="1" applyFill="1" applyBorder="1" applyAlignment="1">
      <alignment horizontal="left" vertical="center"/>
    </xf>
    <xf numFmtId="0" fontId="6" fillId="6" borderId="111" xfId="1" applyFont="1" applyFill="1" applyBorder="1" applyAlignment="1" applyProtection="1">
      <alignment horizontal="center" vertical="center" wrapText="1"/>
      <protection locked="0"/>
    </xf>
    <xf numFmtId="0" fontId="6" fillId="6" borderId="9" xfId="1" applyFont="1" applyFill="1" applyBorder="1" applyAlignment="1" applyProtection="1">
      <alignment horizontal="center" vertical="center" wrapText="1"/>
      <protection locked="0"/>
    </xf>
    <xf numFmtId="0" fontId="6" fillId="6" borderId="40" xfId="1" applyFont="1" applyFill="1" applyBorder="1" applyAlignment="1" applyProtection="1">
      <alignment horizontal="center" vertical="center" wrapText="1"/>
      <protection locked="0"/>
    </xf>
    <xf numFmtId="0" fontId="19" fillId="4" borderId="34" xfId="1" applyFont="1" applyFill="1" applyBorder="1" applyAlignment="1">
      <alignment horizontal="center" vertical="center"/>
    </xf>
    <xf numFmtId="0" fontId="19" fillId="4" borderId="35" xfId="1" applyFont="1" applyFill="1" applyBorder="1" applyAlignment="1">
      <alignment horizontal="center" vertical="center"/>
    </xf>
    <xf numFmtId="0" fontId="19" fillId="4" borderId="37" xfId="1" applyFont="1" applyFill="1" applyBorder="1" applyAlignment="1">
      <alignment horizontal="center" vertical="center"/>
    </xf>
    <xf numFmtId="0" fontId="19" fillId="4" borderId="39" xfId="1" applyFont="1" applyFill="1" applyBorder="1" applyAlignment="1">
      <alignment horizontal="center" vertical="center"/>
    </xf>
    <xf numFmtId="0" fontId="19" fillId="4" borderId="9" xfId="1" applyFont="1" applyFill="1" applyBorder="1" applyAlignment="1">
      <alignment horizontal="center" vertical="center"/>
    </xf>
    <xf numFmtId="0" fontId="19" fillId="4" borderId="18" xfId="1" applyFont="1" applyFill="1" applyBorder="1" applyAlignment="1">
      <alignment horizontal="center" vertical="center"/>
    </xf>
    <xf numFmtId="0" fontId="19" fillId="4" borderId="36" xfId="1" applyFont="1" applyFill="1" applyBorder="1" applyAlignment="1">
      <alignment horizontal="center" vertical="center"/>
    </xf>
    <xf numFmtId="0" fontId="19" fillId="4" borderId="8" xfId="1" applyFont="1" applyFill="1" applyBorder="1" applyAlignment="1">
      <alignment horizontal="center" vertical="center"/>
    </xf>
    <xf numFmtId="0" fontId="19" fillId="4" borderId="38" xfId="1" applyFont="1" applyFill="1" applyBorder="1" applyAlignment="1">
      <alignment horizontal="center" vertical="center"/>
    </xf>
    <xf numFmtId="0" fontId="19" fillId="4" borderId="40" xfId="1" applyFont="1" applyFill="1" applyBorder="1" applyAlignment="1">
      <alignment horizontal="center" vertical="center"/>
    </xf>
    <xf numFmtId="0" fontId="6" fillId="2" borderId="106" xfId="1" applyFont="1" applyFill="1" applyBorder="1" applyAlignment="1">
      <alignment horizontal="center" vertical="center"/>
    </xf>
    <xf numFmtId="0" fontId="6" fillId="2" borderId="108" xfId="1" applyFont="1" applyFill="1" applyBorder="1" applyAlignment="1">
      <alignment horizontal="center" vertical="center"/>
    </xf>
    <xf numFmtId="0" fontId="6" fillId="2" borderId="110" xfId="1" applyFont="1" applyFill="1" applyBorder="1" applyAlignment="1">
      <alignment horizontal="center" vertical="center"/>
    </xf>
    <xf numFmtId="0" fontId="19" fillId="2" borderId="111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9" fillId="2" borderId="110" xfId="1" applyFont="1" applyFill="1" applyBorder="1" applyAlignment="1">
      <alignment horizontal="center" vertical="center" wrapText="1"/>
    </xf>
    <xf numFmtId="0" fontId="6" fillId="2" borderId="121" xfId="1" applyFont="1" applyFill="1" applyBorder="1" applyAlignment="1">
      <alignment horizontal="left" vertical="center" wrapText="1"/>
    </xf>
    <xf numFmtId="0" fontId="6" fillId="2" borderId="54" xfId="1" applyFont="1" applyFill="1" applyBorder="1" applyAlignment="1">
      <alignment horizontal="left" vertical="center" wrapText="1"/>
    </xf>
    <xf numFmtId="0" fontId="6" fillId="2" borderId="122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123" xfId="1" applyFont="1" applyFill="1" applyBorder="1" applyAlignment="1">
      <alignment horizontal="center" vertical="center" wrapText="1"/>
    </xf>
    <xf numFmtId="0" fontId="6" fillId="6" borderId="109" xfId="1" applyFont="1" applyFill="1" applyBorder="1" applyAlignment="1" applyProtection="1">
      <alignment horizontal="center" vertical="center" wrapText="1"/>
      <protection locked="0"/>
    </xf>
    <xf numFmtId="0" fontId="6" fillId="6" borderId="0" xfId="1" applyFont="1" applyFill="1" applyAlignment="1" applyProtection="1">
      <alignment horizontal="center" vertical="center" wrapText="1"/>
      <protection locked="0"/>
    </xf>
    <xf numFmtId="0" fontId="6" fillId="6" borderId="19" xfId="1" applyFont="1" applyFill="1" applyBorder="1" applyAlignment="1" applyProtection="1">
      <alignment horizontal="center" vertical="center" wrapText="1"/>
      <protection locked="0"/>
    </xf>
    <xf numFmtId="0" fontId="11" fillId="6" borderId="31" xfId="1" applyFont="1" applyFill="1" applyBorder="1" applyAlignment="1" applyProtection="1">
      <alignment horizontal="center" vertical="center"/>
      <protection locked="0"/>
    </xf>
    <xf numFmtId="0" fontId="11" fillId="6" borderId="30" xfId="1" applyFont="1" applyFill="1" applyBorder="1" applyAlignment="1" applyProtection="1">
      <alignment horizontal="center" vertical="center"/>
      <protection locked="0"/>
    </xf>
    <xf numFmtId="0" fontId="11" fillId="6" borderId="32" xfId="1" applyFont="1" applyFill="1" applyBorder="1" applyAlignment="1" applyProtection="1">
      <alignment horizontal="center" vertical="center"/>
      <protection locked="0"/>
    </xf>
    <xf numFmtId="0" fontId="21" fillId="2" borderId="14" xfId="1" applyFont="1" applyFill="1" applyBorder="1" applyAlignment="1">
      <alignment horizontal="center" vertical="center"/>
    </xf>
    <xf numFmtId="0" fontId="21" fillId="2" borderId="12" xfId="1" applyFont="1" applyFill="1" applyBorder="1" applyAlignment="1">
      <alignment horizontal="center" vertical="center"/>
    </xf>
    <xf numFmtId="0" fontId="21" fillId="2" borderId="13" xfId="1" applyFont="1" applyFill="1" applyBorder="1" applyAlignment="1">
      <alignment horizontal="center" vertical="center"/>
    </xf>
    <xf numFmtId="0" fontId="21" fillId="2" borderId="6" xfId="1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17" xfId="1" applyFont="1" applyFill="1" applyBorder="1" applyAlignment="1">
      <alignment horizontal="center" vertical="center"/>
    </xf>
    <xf numFmtId="0" fontId="21" fillId="2" borderId="23" xfId="1" applyFont="1" applyFill="1" applyBorder="1" applyAlignment="1">
      <alignment horizontal="center" vertical="center"/>
    </xf>
    <xf numFmtId="0" fontId="21" fillId="2" borderId="21" xfId="1" applyFont="1" applyFill="1" applyBorder="1" applyAlignment="1">
      <alignment horizontal="center" vertical="center"/>
    </xf>
    <xf numFmtId="0" fontId="21" fillId="2" borderId="22" xfId="1" applyFont="1" applyFill="1" applyBorder="1" applyAlignment="1">
      <alignment horizontal="center" vertical="center"/>
    </xf>
    <xf numFmtId="0" fontId="6" fillId="2" borderId="27" xfId="1" applyFont="1" applyFill="1" applyBorder="1" applyAlignment="1">
      <alignment horizontal="left" vertical="center"/>
    </xf>
    <xf numFmtId="0" fontId="19" fillId="2" borderId="27" xfId="1" applyFont="1" applyFill="1" applyBorder="1" applyAlignment="1" applyProtection="1">
      <alignment horizontal="center" vertical="center"/>
      <protection locked="0"/>
    </xf>
    <xf numFmtId="0" fontId="19" fillId="2" borderId="26" xfId="1" applyFont="1" applyFill="1" applyBorder="1" applyAlignment="1" applyProtection="1">
      <alignment horizontal="center" vertical="center"/>
      <protection locked="0"/>
    </xf>
    <xf numFmtId="0" fontId="19" fillId="2" borderId="28" xfId="1" applyFont="1" applyFill="1" applyBorder="1" applyAlignment="1" applyProtection="1">
      <alignment horizontal="center" vertical="center"/>
      <protection locked="0"/>
    </xf>
    <xf numFmtId="0" fontId="6" fillId="6" borderId="16" xfId="1" applyFont="1" applyFill="1" applyBorder="1" applyAlignment="1" applyProtection="1">
      <alignment horizontal="center" vertical="center"/>
      <protection locked="0"/>
    </xf>
    <xf numFmtId="0" fontId="6" fillId="6" borderId="0" xfId="1" applyFont="1" applyFill="1" applyAlignment="1" applyProtection="1">
      <alignment horizontal="center" vertical="center"/>
      <protection locked="0"/>
    </xf>
    <xf numFmtId="0" fontId="6" fillId="6" borderId="17" xfId="1" applyFont="1" applyFill="1" applyBorder="1" applyAlignment="1" applyProtection="1">
      <alignment horizontal="center" vertical="center"/>
      <protection locked="0"/>
    </xf>
    <xf numFmtId="0" fontId="6" fillId="6" borderId="20" xfId="1" applyFont="1" applyFill="1" applyBorder="1" applyAlignment="1" applyProtection="1">
      <alignment horizontal="center" vertical="center"/>
      <protection locked="0"/>
    </xf>
    <xf numFmtId="0" fontId="6" fillId="6" borderId="21" xfId="1" applyFont="1" applyFill="1" applyBorder="1" applyAlignment="1" applyProtection="1">
      <alignment horizontal="center" vertical="center"/>
      <protection locked="0"/>
    </xf>
    <xf numFmtId="0" fontId="6" fillId="6" borderId="22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>
      <alignment horizontal="left" vertical="center"/>
    </xf>
    <xf numFmtId="0" fontId="6" fillId="2" borderId="32" xfId="1" applyFont="1" applyFill="1" applyBorder="1" applyAlignment="1">
      <alignment horizontal="left" vertical="center"/>
    </xf>
    <xf numFmtId="0" fontId="19" fillId="2" borderId="31" xfId="1" applyFont="1" applyFill="1" applyBorder="1" applyAlignment="1" applyProtection="1">
      <alignment horizontal="center" vertical="center"/>
      <protection locked="0"/>
    </xf>
    <xf numFmtId="0" fontId="19" fillId="2" borderId="30" xfId="1" applyFont="1" applyFill="1" applyBorder="1" applyAlignment="1" applyProtection="1">
      <alignment horizontal="center" vertical="center"/>
      <protection locked="0"/>
    </xf>
    <xf numFmtId="0" fontId="19" fillId="2" borderId="33" xfId="1" applyFont="1" applyFill="1" applyBorder="1" applyAlignment="1" applyProtection="1">
      <alignment horizontal="center" vertical="center"/>
      <protection locked="0"/>
    </xf>
    <xf numFmtId="0" fontId="6" fillId="2" borderId="44" xfId="1" applyFont="1" applyFill="1" applyBorder="1" applyAlignment="1">
      <alignment horizontal="left" vertical="center"/>
    </xf>
    <xf numFmtId="0" fontId="6" fillId="2" borderId="45" xfId="1" applyFont="1" applyFill="1" applyBorder="1" applyAlignment="1">
      <alignment horizontal="left" vertical="center"/>
    </xf>
    <xf numFmtId="0" fontId="6" fillId="2" borderId="46" xfId="1" applyFont="1" applyFill="1" applyBorder="1" applyAlignment="1">
      <alignment horizontal="left" vertical="center"/>
    </xf>
    <xf numFmtId="0" fontId="19" fillId="6" borderId="44" xfId="1" applyFont="1" applyFill="1" applyBorder="1" applyAlignment="1" applyProtection="1">
      <alignment horizontal="center" vertical="center"/>
      <protection locked="0"/>
    </xf>
    <xf numFmtId="0" fontId="19" fillId="6" borderId="45" xfId="1" applyFont="1" applyFill="1" applyBorder="1" applyAlignment="1" applyProtection="1">
      <alignment horizontal="center" vertical="center"/>
      <protection locked="0"/>
    </xf>
    <xf numFmtId="0" fontId="19" fillId="6" borderId="47" xfId="1" applyFont="1" applyFill="1" applyBorder="1" applyAlignment="1" applyProtection="1">
      <alignment horizontal="center" vertical="center"/>
      <protection locked="0"/>
    </xf>
    <xf numFmtId="0" fontId="6" fillId="6" borderId="44" xfId="1" applyFont="1" applyFill="1" applyBorder="1" applyAlignment="1" applyProtection="1">
      <alignment horizontal="center" vertical="center"/>
      <protection locked="0"/>
    </xf>
    <xf numFmtId="0" fontId="6" fillId="6" borderId="45" xfId="1" applyFont="1" applyFill="1" applyBorder="1" applyAlignment="1" applyProtection="1">
      <alignment horizontal="center" vertical="center"/>
      <protection locked="0"/>
    </xf>
    <xf numFmtId="0" fontId="6" fillId="6" borderId="46" xfId="1" applyFont="1" applyFill="1" applyBorder="1" applyAlignment="1" applyProtection="1">
      <alignment horizontal="center" vertical="center"/>
      <protection locked="0"/>
    </xf>
    <xf numFmtId="0" fontId="6" fillId="6" borderId="47" xfId="1" applyFont="1" applyFill="1" applyBorder="1" applyAlignment="1" applyProtection="1">
      <alignment horizontal="center" vertical="center"/>
      <protection locked="0"/>
    </xf>
    <xf numFmtId="0" fontId="6" fillId="2" borderId="0" xfId="1" applyFont="1" applyFill="1" applyAlignment="1">
      <alignment horizontal="left" vertical="center" wrapText="1"/>
    </xf>
    <xf numFmtId="0" fontId="6" fillId="2" borderId="19" xfId="1" applyFont="1" applyFill="1" applyBorder="1" applyAlignment="1">
      <alignment horizontal="left" vertical="center" wrapText="1"/>
    </xf>
    <xf numFmtId="0" fontId="6" fillId="2" borderId="9" xfId="1" applyFont="1" applyFill="1" applyBorder="1" applyAlignment="1">
      <alignment horizontal="left" vertical="center" wrapText="1"/>
    </xf>
    <xf numFmtId="0" fontId="6" fillId="2" borderId="40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6" fillId="2" borderId="17" xfId="1" applyFont="1" applyFill="1" applyBorder="1" applyAlignment="1">
      <alignment horizontal="left" vertical="top" wrapText="1"/>
    </xf>
    <xf numFmtId="0" fontId="6" fillId="2" borderId="8" xfId="1" applyFont="1" applyFill="1" applyBorder="1" applyAlignment="1">
      <alignment horizontal="left" vertical="top" wrapText="1"/>
    </xf>
    <xf numFmtId="0" fontId="6" fillId="2" borderId="9" xfId="1" applyFont="1" applyFill="1" applyBorder="1" applyAlignment="1">
      <alignment horizontal="left" vertical="top" wrapText="1"/>
    </xf>
    <xf numFmtId="0" fontId="6" fillId="2" borderId="18" xfId="1" applyFont="1" applyFill="1" applyBorder="1" applyAlignment="1">
      <alignment horizontal="left" vertical="top" wrapText="1"/>
    </xf>
    <xf numFmtId="0" fontId="6" fillId="2" borderId="19" xfId="1" applyFont="1" applyFill="1" applyBorder="1" applyAlignment="1">
      <alignment horizontal="left" vertical="top" wrapText="1"/>
    </xf>
    <xf numFmtId="0" fontId="6" fillId="2" borderId="40" xfId="1" applyFont="1" applyFill="1" applyBorder="1" applyAlignment="1">
      <alignment horizontal="left" vertical="top" wrapText="1"/>
    </xf>
    <xf numFmtId="0" fontId="6" fillId="2" borderId="36" xfId="1" quotePrefix="1" applyFont="1" applyFill="1" applyBorder="1" applyAlignment="1">
      <alignment horizontal="left" vertical="top"/>
    </xf>
    <xf numFmtId="0" fontId="6" fillId="2" borderId="35" xfId="1" quotePrefix="1" applyFont="1" applyFill="1" applyBorder="1" applyAlignment="1">
      <alignment horizontal="left" vertical="top"/>
    </xf>
    <xf numFmtId="0" fontId="6" fillId="2" borderId="38" xfId="1" quotePrefix="1" applyFont="1" applyFill="1" applyBorder="1" applyAlignment="1">
      <alignment horizontal="left" vertical="top"/>
    </xf>
    <xf numFmtId="0" fontId="6" fillId="2" borderId="8" xfId="1" quotePrefix="1" applyFont="1" applyFill="1" applyBorder="1" applyAlignment="1">
      <alignment horizontal="left" vertical="top"/>
    </xf>
    <xf numFmtId="0" fontId="6" fillId="2" borderId="9" xfId="1" quotePrefix="1" applyFont="1" applyFill="1" applyBorder="1" applyAlignment="1">
      <alignment horizontal="left" vertical="top"/>
    </xf>
    <xf numFmtId="0" fontId="6" fillId="2" borderId="40" xfId="1" quotePrefix="1" applyFont="1" applyFill="1" applyBorder="1" applyAlignment="1">
      <alignment horizontal="left" vertical="top"/>
    </xf>
    <xf numFmtId="0" fontId="6" fillId="2" borderId="36" xfId="1" applyFont="1" applyFill="1" applyBorder="1" applyAlignment="1">
      <alignment horizontal="left" vertical="top" wrapText="1"/>
    </xf>
    <xf numFmtId="0" fontId="6" fillId="2" borderId="35" xfId="1" applyFont="1" applyFill="1" applyBorder="1" applyAlignment="1">
      <alignment horizontal="left" vertical="top" wrapText="1"/>
    </xf>
    <xf numFmtId="0" fontId="6" fillId="2" borderId="38" xfId="1" applyFont="1" applyFill="1" applyBorder="1" applyAlignment="1">
      <alignment horizontal="left" vertical="top" wrapText="1"/>
    </xf>
    <xf numFmtId="0" fontId="6" fillId="2" borderId="28" xfId="1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left" vertical="center" wrapText="1"/>
    </xf>
    <xf numFmtId="0" fontId="6" fillId="2" borderId="12" xfId="1" applyFont="1" applyFill="1" applyBorder="1" applyAlignment="1">
      <alignment horizontal="left" vertical="center" wrapText="1"/>
    </xf>
    <xf numFmtId="0" fontId="6" fillId="2" borderId="13" xfId="1" applyFont="1" applyFill="1" applyBorder="1" applyAlignment="1">
      <alignment horizontal="left" vertical="center" wrapText="1"/>
    </xf>
    <xf numFmtId="0" fontId="6" fillId="2" borderId="8" xfId="1" applyFont="1" applyFill="1" applyBorder="1" applyAlignment="1">
      <alignment horizontal="left" vertical="center" wrapText="1"/>
    </xf>
    <xf numFmtId="0" fontId="6" fillId="2" borderId="18" xfId="1" applyFont="1" applyFill="1" applyBorder="1" applyAlignment="1">
      <alignment horizontal="left" vertical="center" wrapText="1"/>
    </xf>
    <xf numFmtId="0" fontId="10" fillId="2" borderId="14" xfId="1" applyFont="1" applyFill="1" applyBorder="1" applyAlignment="1">
      <alignment horizontal="left" vertical="center"/>
    </xf>
    <xf numFmtId="0" fontId="10" fillId="2" borderId="12" xfId="1" applyFont="1" applyFill="1" applyBorder="1" applyAlignment="1">
      <alignment horizontal="left" vertical="center"/>
    </xf>
    <xf numFmtId="0" fontId="10" fillId="2" borderId="13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0" fontId="10" fillId="2" borderId="9" xfId="1" applyFont="1" applyFill="1" applyBorder="1" applyAlignment="1">
      <alignment horizontal="left" vertical="center"/>
    </xf>
    <xf numFmtId="0" fontId="10" fillId="2" borderId="18" xfId="1" applyFont="1" applyFill="1" applyBorder="1" applyAlignment="1">
      <alignment horizontal="left" vertical="center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170" fontId="6" fillId="2" borderId="31" xfId="1" quotePrefix="1" applyNumberFormat="1" applyFont="1" applyFill="1" applyBorder="1" applyAlignment="1">
      <alignment horizontal="center" vertical="center"/>
    </xf>
    <xf numFmtId="170" fontId="6" fillId="2" borderId="30" xfId="1" quotePrefix="1" applyNumberFormat="1" applyFont="1" applyFill="1" applyBorder="1" applyAlignment="1">
      <alignment horizontal="center" vertical="center"/>
    </xf>
    <xf numFmtId="170" fontId="6" fillId="2" borderId="32" xfId="1" quotePrefix="1" applyNumberFormat="1" applyFont="1" applyFill="1" applyBorder="1" applyAlignment="1">
      <alignment horizontal="center" vertical="center"/>
    </xf>
    <xf numFmtId="0" fontId="14" fillId="2" borderId="31" xfId="1" applyFont="1" applyFill="1" applyBorder="1" applyAlignment="1">
      <alignment horizontal="left" vertical="top"/>
    </xf>
    <xf numFmtId="0" fontId="14" fillId="2" borderId="30" xfId="1" applyFont="1" applyFill="1" applyBorder="1" applyAlignment="1">
      <alignment horizontal="left" vertical="top"/>
    </xf>
    <xf numFmtId="0" fontId="14" fillId="2" borderId="32" xfId="1" applyFont="1" applyFill="1" applyBorder="1" applyAlignment="1">
      <alignment horizontal="left" vertical="top"/>
    </xf>
    <xf numFmtId="165" fontId="6" fillId="2" borderId="36" xfId="1" applyNumberFormat="1" applyFont="1" applyFill="1" applyBorder="1" applyAlignment="1">
      <alignment horizontal="center" vertical="center"/>
    </xf>
    <xf numFmtId="165" fontId="6" fillId="2" borderId="35" xfId="1" applyNumberFormat="1" applyFont="1" applyFill="1" applyBorder="1" applyAlignment="1">
      <alignment horizontal="center" vertical="center"/>
    </xf>
    <xf numFmtId="165" fontId="6" fillId="2" borderId="38" xfId="1" applyNumberFormat="1" applyFont="1" applyFill="1" applyBorder="1" applyAlignment="1">
      <alignment horizontal="center" vertical="center"/>
    </xf>
    <xf numFmtId="165" fontId="6" fillId="2" borderId="8" xfId="1" applyNumberFormat="1" applyFont="1" applyFill="1" applyBorder="1" applyAlignment="1">
      <alignment horizontal="center" vertical="center"/>
    </xf>
    <xf numFmtId="165" fontId="6" fillId="2" borderId="9" xfId="1" applyNumberFormat="1" applyFont="1" applyFill="1" applyBorder="1" applyAlignment="1">
      <alignment horizontal="center" vertical="center"/>
    </xf>
    <xf numFmtId="165" fontId="6" fillId="2" borderId="40" xfId="1" applyNumberFormat="1" applyFont="1" applyFill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11" fillId="2" borderId="30" xfId="1" applyFont="1" applyFill="1" applyBorder="1" applyAlignment="1">
      <alignment horizontal="center" vertical="center"/>
    </xf>
    <xf numFmtId="0" fontId="12" fillId="2" borderId="31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/>
    </xf>
    <xf numFmtId="1" fontId="13" fillId="2" borderId="31" xfId="1" applyNumberFormat="1" applyFont="1" applyFill="1" applyBorder="1" applyAlignment="1">
      <alignment horizontal="center" vertical="center"/>
    </xf>
    <xf numFmtId="1" fontId="13" fillId="2" borderId="30" xfId="1" applyNumberFormat="1" applyFont="1" applyFill="1" applyBorder="1" applyAlignment="1">
      <alignment horizontal="center" vertical="center"/>
    </xf>
    <xf numFmtId="1" fontId="13" fillId="2" borderId="33" xfId="1" applyNumberFormat="1" applyFont="1" applyFill="1" applyBorder="1" applyAlignment="1">
      <alignment horizontal="center" vertical="center"/>
    </xf>
    <xf numFmtId="0" fontId="6" fillId="2" borderId="36" xfId="1" applyFont="1" applyFill="1" applyBorder="1" applyAlignment="1">
      <alignment horizontal="left" vertical="center"/>
    </xf>
    <xf numFmtId="0" fontId="6" fillId="2" borderId="35" xfId="1" applyFont="1" applyFill="1" applyBorder="1" applyAlignment="1">
      <alignment horizontal="left" vertical="center"/>
    </xf>
    <xf numFmtId="0" fontId="6" fillId="2" borderId="37" xfId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left" vertical="center"/>
    </xf>
    <xf numFmtId="0" fontId="6" fillId="2" borderId="9" xfId="1" applyFont="1" applyFill="1" applyBorder="1" applyAlignment="1">
      <alignment horizontal="left" vertical="center"/>
    </xf>
    <xf numFmtId="0" fontId="6" fillId="2" borderId="18" xfId="1" applyFont="1" applyFill="1" applyBorder="1" applyAlignment="1">
      <alignment horizontal="left" vertical="center"/>
    </xf>
    <xf numFmtId="0" fontId="6" fillId="2" borderId="31" xfId="1" applyFont="1" applyFill="1" applyBorder="1" applyAlignment="1">
      <alignment horizontal="left"/>
    </xf>
    <xf numFmtId="0" fontId="6" fillId="2" borderId="30" xfId="1" applyFont="1" applyFill="1" applyBorder="1" applyAlignment="1">
      <alignment horizontal="left"/>
    </xf>
    <xf numFmtId="0" fontId="6" fillId="2" borderId="32" xfId="1" applyFont="1" applyFill="1" applyBorder="1" applyAlignment="1">
      <alignment horizontal="left"/>
    </xf>
    <xf numFmtId="172" fontId="6" fillId="2" borderId="36" xfId="1" quotePrefix="1" applyNumberFormat="1" applyFont="1" applyFill="1" applyBorder="1" applyAlignment="1">
      <alignment horizontal="left" vertical="center"/>
    </xf>
    <xf numFmtId="172" fontId="6" fillId="2" borderId="35" xfId="1" quotePrefix="1" applyNumberFormat="1" applyFont="1" applyFill="1" applyBorder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6" fillId="2" borderId="16" xfId="1" applyFont="1" applyFill="1" applyBorder="1" applyAlignment="1">
      <alignment horizontal="center" vertical="center" wrapText="1"/>
    </xf>
    <xf numFmtId="0" fontId="11" fillId="2" borderId="35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42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left" vertical="center" wrapText="1"/>
    </xf>
    <xf numFmtId="14" fontId="6" fillId="2" borderId="36" xfId="1" applyNumberFormat="1" applyFont="1" applyFill="1" applyBorder="1" applyAlignment="1">
      <alignment horizontal="center" vertical="center"/>
    </xf>
    <xf numFmtId="14" fontId="6" fillId="2" borderId="35" xfId="1" applyNumberFormat="1" applyFont="1" applyFill="1" applyBorder="1" applyAlignment="1">
      <alignment horizontal="center" vertical="center"/>
    </xf>
    <xf numFmtId="14" fontId="6" fillId="2" borderId="37" xfId="1" applyNumberFormat="1" applyFont="1" applyFill="1" applyBorder="1" applyAlignment="1">
      <alignment horizontal="center" vertical="center"/>
    </xf>
    <xf numFmtId="14" fontId="6" fillId="2" borderId="6" xfId="1" applyNumberFormat="1" applyFont="1" applyFill="1" applyBorder="1" applyAlignment="1">
      <alignment horizontal="center" vertical="center"/>
    </xf>
    <xf numFmtId="14" fontId="6" fillId="2" borderId="0" xfId="1" applyNumberFormat="1" applyFont="1" applyFill="1" applyAlignment="1">
      <alignment horizontal="center" vertical="center"/>
    </xf>
    <xf numFmtId="14" fontId="6" fillId="2" borderId="17" xfId="1" applyNumberFormat="1" applyFont="1" applyFill="1" applyBorder="1" applyAlignment="1">
      <alignment horizontal="center" vertical="center"/>
    </xf>
    <xf numFmtId="14" fontId="6" fillId="2" borderId="8" xfId="1" applyNumberFormat="1" applyFon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14" fontId="6" fillId="2" borderId="18" xfId="1" applyNumberFormat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36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6" fillId="2" borderId="5" xfId="1" applyFont="1" applyFill="1" applyBorder="1" applyAlignment="1">
      <alignment horizontal="center" vertical="center"/>
    </xf>
    <xf numFmtId="0" fontId="16" fillId="2" borderId="42" xfId="1" applyFont="1" applyFill="1" applyBorder="1" applyAlignment="1">
      <alignment horizontal="center" vertical="center"/>
    </xf>
    <xf numFmtId="0" fontId="6" fillId="2" borderId="31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left" vertical="center" wrapText="1"/>
    </xf>
    <xf numFmtId="0" fontId="6" fillId="2" borderId="30" xfId="1" applyFont="1" applyFill="1" applyBorder="1" applyAlignment="1">
      <alignment horizontal="left" vertical="center" wrapText="1"/>
    </xf>
    <xf numFmtId="166" fontId="6" fillId="2" borderId="30" xfId="1" applyNumberFormat="1" applyFont="1" applyFill="1" applyBorder="1" applyAlignment="1">
      <alignment horizontal="left" vertical="center" wrapText="1"/>
    </xf>
    <xf numFmtId="166" fontId="6" fillId="2" borderId="32" xfId="1" applyNumberFormat="1" applyFont="1" applyFill="1" applyBorder="1" applyAlignment="1">
      <alignment horizontal="left" vertical="center" wrapText="1"/>
    </xf>
    <xf numFmtId="168" fontId="6" fillId="2" borderId="30" xfId="1" applyNumberFormat="1" applyFont="1" applyFill="1" applyBorder="1" applyAlignment="1">
      <alignment horizontal="left" vertical="center"/>
    </xf>
    <xf numFmtId="168" fontId="6" fillId="2" borderId="32" xfId="1" applyNumberFormat="1" applyFont="1" applyFill="1" applyBorder="1" applyAlignment="1">
      <alignment horizontal="left" vertical="center"/>
    </xf>
    <xf numFmtId="164" fontId="6" fillId="2" borderId="36" xfId="1" applyNumberFormat="1" applyFont="1" applyFill="1" applyBorder="1" applyAlignment="1">
      <alignment horizontal="center" vertical="center"/>
    </xf>
    <xf numFmtId="164" fontId="6" fillId="2" borderId="35" xfId="1" applyNumberFormat="1" applyFont="1" applyFill="1" applyBorder="1" applyAlignment="1">
      <alignment horizontal="center" vertical="center"/>
    </xf>
    <xf numFmtId="164" fontId="6" fillId="2" borderId="37" xfId="1" applyNumberFormat="1" applyFont="1" applyFill="1" applyBorder="1" applyAlignment="1">
      <alignment horizontal="center" vertical="center"/>
    </xf>
    <xf numFmtId="164" fontId="6" fillId="2" borderId="8" xfId="1" applyNumberFormat="1" applyFont="1" applyFill="1" applyBorder="1" applyAlignment="1">
      <alignment horizontal="center" vertical="center"/>
    </xf>
    <xf numFmtId="164" fontId="6" fillId="2" borderId="9" xfId="1" applyNumberFormat="1" applyFont="1" applyFill="1" applyBorder="1" applyAlignment="1">
      <alignment horizontal="center" vertical="center"/>
    </xf>
    <xf numFmtId="164" fontId="6" fillId="2" borderId="18" xfId="1" applyNumberFormat="1" applyFont="1" applyFill="1" applyBorder="1" applyAlignment="1">
      <alignment horizontal="center" vertical="center"/>
    </xf>
    <xf numFmtId="0" fontId="6" fillId="2" borderId="29" xfId="1" applyFont="1" applyFill="1" applyBorder="1" applyAlignment="1">
      <alignment horizontal="center" vertical="top"/>
    </xf>
    <xf numFmtId="0" fontId="6" fillId="2" borderId="30" xfId="1" applyFont="1" applyFill="1" applyBorder="1" applyAlignment="1">
      <alignment horizontal="center" vertical="top"/>
    </xf>
    <xf numFmtId="0" fontId="6" fillId="2" borderId="32" xfId="1" applyFont="1" applyFill="1" applyBorder="1" applyAlignment="1">
      <alignment horizontal="center" vertical="top"/>
    </xf>
    <xf numFmtId="0" fontId="6" fillId="2" borderId="17" xfId="1" applyFont="1" applyFill="1" applyBorder="1" applyAlignment="1">
      <alignment horizontal="center" vertical="center" wrapText="1"/>
    </xf>
    <xf numFmtId="0" fontId="6" fillId="2" borderId="44" xfId="1" applyFont="1" applyFill="1" applyBorder="1" applyAlignment="1">
      <alignment horizontal="center" vertical="center"/>
    </xf>
    <xf numFmtId="0" fontId="6" fillId="2" borderId="45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horizontal="center" vertical="center"/>
    </xf>
    <xf numFmtId="0" fontId="35" fillId="2" borderId="1" xfId="1" applyFont="1" applyFill="1" applyBorder="1" applyAlignment="1">
      <alignment horizontal="center" vertical="center"/>
    </xf>
    <xf numFmtId="0" fontId="25" fillId="2" borderId="1" xfId="1" applyFont="1" applyFill="1" applyBorder="1" applyAlignment="1">
      <alignment horizontal="center"/>
    </xf>
    <xf numFmtId="0" fontId="23" fillId="2" borderId="97" xfId="1" applyFont="1" applyFill="1" applyBorder="1" applyAlignment="1">
      <alignment horizontal="center" vertical="center"/>
    </xf>
    <xf numFmtId="0" fontId="23" fillId="2" borderId="98" xfId="1" applyFont="1" applyFill="1" applyBorder="1" applyAlignment="1">
      <alignment horizontal="center" vertical="center"/>
    </xf>
    <xf numFmtId="0" fontId="23" fillId="2" borderId="99" xfId="1" applyFont="1" applyFill="1" applyBorder="1" applyAlignment="1">
      <alignment horizontal="center" vertical="center"/>
    </xf>
    <xf numFmtId="0" fontId="23" fillId="2" borderId="101" xfId="1" applyFont="1" applyFill="1" applyBorder="1" applyAlignment="1">
      <alignment horizontal="center" vertical="center"/>
    </xf>
    <xf numFmtId="0" fontId="23" fillId="2" borderId="21" xfId="1" applyFont="1" applyFill="1" applyBorder="1" applyAlignment="1">
      <alignment horizontal="center" vertical="center"/>
    </xf>
    <xf numFmtId="0" fontId="23" fillId="2" borderId="102" xfId="1" applyFont="1" applyFill="1" applyBorder="1" applyAlignment="1">
      <alignment horizontal="center" vertical="center"/>
    </xf>
    <xf numFmtId="0" fontId="2" fillId="2" borderId="21" xfId="1" applyFill="1" applyBorder="1" applyAlignment="1">
      <alignment horizontal="left" vertical="center"/>
    </xf>
    <xf numFmtId="0" fontId="35" fillId="2" borderId="80" xfId="1" applyFont="1" applyFill="1" applyBorder="1" applyAlignment="1">
      <alignment horizontal="center" vertical="center"/>
    </xf>
    <xf numFmtId="0" fontId="35" fillId="2" borderId="81" xfId="1" applyFont="1" applyFill="1" applyBorder="1" applyAlignment="1">
      <alignment horizontal="center" vertical="center"/>
    </xf>
    <xf numFmtId="0" fontId="35" fillId="2" borderId="49" xfId="1" applyFont="1" applyFill="1" applyBorder="1" applyAlignment="1">
      <alignment horizontal="center" vertical="center"/>
    </xf>
    <xf numFmtId="0" fontId="25" fillId="2" borderId="80" xfId="1" applyFont="1" applyFill="1" applyBorder="1" applyAlignment="1">
      <alignment horizontal="center"/>
    </xf>
    <xf numFmtId="0" fontId="25" fillId="2" borderId="81" xfId="1" applyFont="1" applyFill="1" applyBorder="1" applyAlignment="1">
      <alignment horizontal="center"/>
    </xf>
    <xf numFmtId="0" fontId="25" fillId="2" borderId="49" xfId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6" xfId="1" applyFont="1" applyFill="1" applyBorder="1" applyAlignment="1">
      <alignment horizontal="left" vertical="top"/>
    </xf>
    <xf numFmtId="0" fontId="6" fillId="2" borderId="0" xfId="1" applyFont="1" applyFill="1" applyAlignment="1">
      <alignment horizontal="left" vertical="top"/>
    </xf>
    <xf numFmtId="0" fontId="6" fillId="2" borderId="19" xfId="1" applyFont="1" applyFill="1" applyBorder="1" applyAlignment="1">
      <alignment horizontal="left" vertical="top"/>
    </xf>
    <xf numFmtId="0" fontId="6" fillId="2" borderId="8" xfId="1" applyFont="1" applyFill="1" applyBorder="1" applyAlignment="1">
      <alignment horizontal="left" vertical="top"/>
    </xf>
    <xf numFmtId="0" fontId="6" fillId="2" borderId="9" xfId="1" applyFont="1" applyFill="1" applyBorder="1" applyAlignment="1">
      <alignment horizontal="left" vertical="top"/>
    </xf>
    <xf numFmtId="0" fontId="6" fillId="2" borderId="40" xfId="1" applyFont="1" applyFill="1" applyBorder="1" applyAlignment="1">
      <alignment horizontal="left" vertical="top"/>
    </xf>
    <xf numFmtId="0" fontId="52" fillId="0" borderId="0" xfId="0" applyFont="1" applyAlignment="1">
      <alignment wrapText="1"/>
    </xf>
  </cellXfs>
  <cellStyles count="2">
    <cellStyle name="Normal" xfId="0" builtinId="0"/>
    <cellStyle name="Normal 2" xfId="1" xr:uid="{931C64D6-9416-45EA-A161-928F46AF010F}"/>
  </cellStyles>
  <dxfs count="8"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0EF62A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rgb="FF37E53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47625</xdr:rowOff>
    </xdr:from>
    <xdr:to>
      <xdr:col>8</xdr:col>
      <xdr:colOff>76200</xdr:colOff>
      <xdr:row>3</xdr:row>
      <xdr:rowOff>152400</xdr:rowOff>
    </xdr:to>
    <xdr:pic>
      <xdr:nvPicPr>
        <xdr:cNvPr id="2" name="Picture 2" descr="LOGO ASC-2">
          <a:extLst>
            <a:ext uri="{FF2B5EF4-FFF2-40B4-BE49-F238E27FC236}">
              <a16:creationId xmlns:a16="http://schemas.microsoft.com/office/drawing/2014/main" id="{DB807D9E-AA4A-4F0D-AAA8-5C439C63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5" y="50165"/>
          <a:ext cx="1412875" cy="788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49</xdr:col>
      <xdr:colOff>66675</xdr:colOff>
      <xdr:row>0</xdr:row>
      <xdr:rowOff>47625</xdr:rowOff>
    </xdr:from>
    <xdr:ext cx="1362609" cy="799121"/>
    <xdr:pic>
      <xdr:nvPicPr>
        <xdr:cNvPr id="3" name="Picture 2" descr="LOGO ASC-2">
          <a:extLst>
            <a:ext uri="{FF2B5EF4-FFF2-40B4-BE49-F238E27FC236}">
              <a16:creationId xmlns:a16="http://schemas.microsoft.com/office/drawing/2014/main" id="{ECD19E42-1CD1-4053-975B-732DB22DC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1245" y="50165"/>
          <a:ext cx="1362609" cy="799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98</xdr:col>
      <xdr:colOff>66675</xdr:colOff>
      <xdr:row>0</xdr:row>
      <xdr:rowOff>47625</xdr:rowOff>
    </xdr:from>
    <xdr:ext cx="1362609" cy="799121"/>
    <xdr:pic>
      <xdr:nvPicPr>
        <xdr:cNvPr id="4" name="Picture 3" descr="LOGO ASC-2">
          <a:extLst>
            <a:ext uri="{FF2B5EF4-FFF2-40B4-BE49-F238E27FC236}">
              <a16:creationId xmlns:a16="http://schemas.microsoft.com/office/drawing/2014/main" id="{D071B0A6-4591-4A8D-9FD3-B6BFBDEC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59045" y="50165"/>
          <a:ext cx="1362609" cy="799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128</xdr:col>
      <xdr:colOff>17802</xdr:colOff>
      <xdr:row>7</xdr:row>
      <xdr:rowOff>151332</xdr:rowOff>
    </xdr:from>
    <xdr:to>
      <xdr:col>138</xdr:col>
      <xdr:colOff>97920</xdr:colOff>
      <xdr:row>17</xdr:row>
      <xdr:rowOff>180589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EEFE32-A480-475B-9BF4-5F7B4CF9FE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35699"/>
        <a:stretch>
          <a:fillRect/>
        </a:stretch>
      </xdr:blipFill>
      <xdr:spPr>
        <a:xfrm>
          <a:off x="22973052" y="1751532"/>
          <a:ext cx="1832718" cy="2320337"/>
        </a:xfrm>
        <a:prstGeom prst="rect">
          <a:avLst/>
        </a:prstGeom>
      </xdr:spPr>
    </xdr:pic>
    <xdr:clientData/>
  </xdr:twoCellAnchor>
  <xdr:twoCellAnchor editAs="oneCell">
    <xdr:from>
      <xdr:col>123</xdr:col>
      <xdr:colOff>44510</xdr:colOff>
      <xdr:row>22</xdr:row>
      <xdr:rowOff>53412</xdr:rowOff>
    </xdr:from>
    <xdr:to>
      <xdr:col>141</xdr:col>
      <xdr:colOff>53399</xdr:colOff>
      <xdr:row>28</xdr:row>
      <xdr:rowOff>86123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2ABEDA-BF1D-447E-8C28-1CAD3D7603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3835"/>
        <a:stretch>
          <a:fillRect/>
        </a:stretch>
      </xdr:blipFill>
      <xdr:spPr>
        <a:xfrm>
          <a:off x="22120920" y="5047052"/>
          <a:ext cx="3154679" cy="1343351"/>
        </a:xfrm>
        <a:prstGeom prst="rect">
          <a:avLst/>
        </a:prstGeom>
      </xdr:spPr>
    </xdr:pic>
    <xdr:clientData/>
  </xdr:twoCellAnchor>
  <xdr:twoCellAnchor editAs="oneCell">
    <xdr:from>
      <xdr:col>98</xdr:col>
      <xdr:colOff>124626</xdr:colOff>
      <xdr:row>35</xdr:row>
      <xdr:rowOff>8902</xdr:rowOff>
    </xdr:from>
    <xdr:to>
      <xdr:col>131</xdr:col>
      <xdr:colOff>20355</xdr:colOff>
      <xdr:row>52</xdr:row>
      <xdr:rowOff>175429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4C8F75-B112-4E19-9A4B-E6059CA363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5298" r="50420"/>
        <a:stretch>
          <a:fillRect/>
        </a:stretch>
      </xdr:blipFill>
      <xdr:spPr>
        <a:xfrm>
          <a:off x="17820806" y="7942592"/>
          <a:ext cx="5680579" cy="40438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2</xdr:row>
          <xdr:rowOff>387350</xdr:rowOff>
        </xdr:from>
        <xdr:to>
          <xdr:col>18</xdr:col>
          <xdr:colOff>38100</xdr:colOff>
          <xdr:row>4</xdr:row>
          <xdr:rowOff>38100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Material (ML)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3</xdr:row>
          <xdr:rowOff>387350</xdr:rowOff>
        </xdr:from>
        <xdr:to>
          <xdr:col>18</xdr:col>
          <xdr:colOff>38100</xdr:colOff>
          <xdr:row>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Machine (ME)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4</xdr:row>
          <xdr:rowOff>387350</xdr:rowOff>
        </xdr:from>
        <xdr:to>
          <xdr:col>18</xdr:col>
          <xdr:colOff>38100</xdr:colOff>
          <xdr:row>6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Method (MD)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5</xdr:row>
          <xdr:rowOff>387350</xdr:rowOff>
        </xdr:from>
        <xdr:to>
          <xdr:col>18</xdr:col>
          <xdr:colOff>38100</xdr:colOff>
          <xdr:row>7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External (EL)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2</xdr:row>
          <xdr:rowOff>381000</xdr:rowOff>
        </xdr:from>
        <xdr:to>
          <xdr:col>20</xdr:col>
          <xdr:colOff>325120</xdr:colOff>
          <xdr:row>4</xdr:row>
          <xdr:rowOff>38100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1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Repair (BR)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3</xdr:row>
          <xdr:rowOff>381000</xdr:rowOff>
        </xdr:from>
        <xdr:to>
          <xdr:col>20</xdr:col>
          <xdr:colOff>325120</xdr:colOff>
          <xdr:row>5</xdr:row>
          <xdr:rowOff>38100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Scheduling (BS)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4</xdr:row>
          <xdr:rowOff>381000</xdr:rowOff>
        </xdr:from>
        <xdr:to>
          <xdr:col>20</xdr:col>
          <xdr:colOff>325120</xdr:colOff>
          <xdr:row>6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Inspection (BI)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5</xdr:row>
          <xdr:rowOff>381000</xdr:rowOff>
        </xdr:from>
        <xdr:to>
          <xdr:col>20</xdr:col>
          <xdr:colOff>325120</xdr:colOff>
          <xdr:row>7</xdr:row>
          <xdr:rowOff>38100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Design (BD)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6</xdr:row>
          <xdr:rowOff>381000</xdr:rowOff>
        </xdr:from>
        <xdr:to>
          <xdr:col>20</xdr:col>
          <xdr:colOff>325120</xdr:colOff>
          <xdr:row>8</xdr:row>
          <xdr:rowOff>38100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1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Construction (BC)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7</xdr:row>
          <xdr:rowOff>381000</xdr:rowOff>
        </xdr:from>
        <xdr:to>
          <xdr:col>20</xdr:col>
          <xdr:colOff>325120</xdr:colOff>
          <xdr:row>9</xdr:row>
          <xdr:rowOff>38100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Process Condition (PC)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8</xdr:row>
          <xdr:rowOff>381000</xdr:rowOff>
        </xdr:from>
        <xdr:to>
          <xdr:col>20</xdr:col>
          <xdr:colOff>325120</xdr:colOff>
          <xdr:row>10</xdr:row>
          <xdr:rowOff>38100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Miss Operation (MO)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9</xdr:row>
          <xdr:rowOff>381000</xdr:rowOff>
        </xdr:from>
        <xdr:to>
          <xdr:col>20</xdr:col>
          <xdr:colOff>325120</xdr:colOff>
          <xdr:row>11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External (EX)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1</xdr:row>
          <xdr:rowOff>768350</xdr:rowOff>
        </xdr:from>
        <xdr:to>
          <xdr:col>18</xdr:col>
          <xdr:colOff>20320</xdr:colOff>
          <xdr:row>3</xdr:row>
          <xdr:rowOff>62230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Man (MN)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2</xdr:row>
          <xdr:rowOff>0</xdr:rowOff>
        </xdr:from>
        <xdr:to>
          <xdr:col>20</xdr:col>
          <xdr:colOff>325120</xdr:colOff>
          <xdr:row>3</xdr:row>
          <xdr:rowOff>38100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1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Prevention (BV)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16</xdr:row>
          <xdr:rowOff>387350</xdr:rowOff>
        </xdr:from>
        <xdr:to>
          <xdr:col>18</xdr:col>
          <xdr:colOff>38100</xdr:colOff>
          <xdr:row>18</xdr:row>
          <xdr:rowOff>38100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Material (ML)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17</xdr:row>
          <xdr:rowOff>387350</xdr:rowOff>
        </xdr:from>
        <xdr:to>
          <xdr:col>18</xdr:col>
          <xdr:colOff>38100</xdr:colOff>
          <xdr:row>19</xdr:row>
          <xdr:rowOff>38100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Machine (ME)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15</xdr:row>
          <xdr:rowOff>768350</xdr:rowOff>
        </xdr:from>
        <xdr:to>
          <xdr:col>18</xdr:col>
          <xdr:colOff>22860</xdr:colOff>
          <xdr:row>17</xdr:row>
          <xdr:rowOff>60960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1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Man (MN)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18</xdr:row>
          <xdr:rowOff>387350</xdr:rowOff>
        </xdr:from>
        <xdr:to>
          <xdr:col>18</xdr:col>
          <xdr:colOff>38100</xdr:colOff>
          <xdr:row>20</xdr:row>
          <xdr:rowOff>38100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Method (MD)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101600</xdr:colOff>
          <xdr:row>19</xdr:row>
          <xdr:rowOff>387350</xdr:rowOff>
        </xdr:from>
        <xdr:to>
          <xdr:col>18</xdr:col>
          <xdr:colOff>38100</xdr:colOff>
          <xdr:row>21</xdr:row>
          <xdr:rowOff>38100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1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External (EL)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16</xdr:row>
          <xdr:rowOff>381000</xdr:rowOff>
        </xdr:from>
        <xdr:to>
          <xdr:col>20</xdr:col>
          <xdr:colOff>327660</xdr:colOff>
          <xdr:row>18</xdr:row>
          <xdr:rowOff>38100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1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Repair (BR)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17</xdr:row>
          <xdr:rowOff>381000</xdr:rowOff>
        </xdr:from>
        <xdr:to>
          <xdr:col>20</xdr:col>
          <xdr:colOff>327660</xdr:colOff>
          <xdr:row>19</xdr:row>
          <xdr:rowOff>38100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1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Scheduling (BS)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76200</xdr:colOff>
          <xdr:row>16</xdr:row>
          <xdr:rowOff>0</xdr:rowOff>
        </xdr:from>
        <xdr:to>
          <xdr:col>20</xdr:col>
          <xdr:colOff>327660</xdr:colOff>
          <xdr:row>17</xdr:row>
          <xdr:rowOff>38100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1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Prevention (BV)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76200</xdr:colOff>
          <xdr:row>15</xdr:row>
          <xdr:rowOff>381000</xdr:rowOff>
        </xdr:from>
        <xdr:to>
          <xdr:col>21</xdr:col>
          <xdr:colOff>365760</xdr:colOff>
          <xdr:row>17</xdr:row>
          <xdr:rowOff>38100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1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Inspection (BI)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76200</xdr:colOff>
          <xdr:row>16</xdr:row>
          <xdr:rowOff>381000</xdr:rowOff>
        </xdr:from>
        <xdr:to>
          <xdr:col>21</xdr:col>
          <xdr:colOff>365760</xdr:colOff>
          <xdr:row>18</xdr:row>
          <xdr:rowOff>38100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1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Design (BD)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76200</xdr:colOff>
          <xdr:row>17</xdr:row>
          <xdr:rowOff>381000</xdr:rowOff>
        </xdr:from>
        <xdr:to>
          <xdr:col>21</xdr:col>
          <xdr:colOff>365760</xdr:colOff>
          <xdr:row>19</xdr:row>
          <xdr:rowOff>38100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1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Construction (BC)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76200</xdr:colOff>
          <xdr:row>15</xdr:row>
          <xdr:rowOff>381000</xdr:rowOff>
        </xdr:from>
        <xdr:to>
          <xdr:col>22</xdr:col>
          <xdr:colOff>632460</xdr:colOff>
          <xdr:row>17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1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Process Condition (PC)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76200</xdr:colOff>
          <xdr:row>16</xdr:row>
          <xdr:rowOff>381000</xdr:rowOff>
        </xdr:from>
        <xdr:to>
          <xdr:col>22</xdr:col>
          <xdr:colOff>632460</xdr:colOff>
          <xdr:row>18</xdr:row>
          <xdr:rowOff>38100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1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Miss Operation (MO)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76200</xdr:colOff>
          <xdr:row>17</xdr:row>
          <xdr:rowOff>381000</xdr:rowOff>
        </xdr:from>
        <xdr:to>
          <xdr:col>22</xdr:col>
          <xdr:colOff>632460</xdr:colOff>
          <xdr:row>19</xdr:row>
          <xdr:rowOff>38100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1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External (EX)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98425</xdr:colOff>
      <xdr:row>0</xdr:row>
      <xdr:rowOff>108585</xdr:rowOff>
    </xdr:from>
    <xdr:to>
      <xdr:col>7</xdr:col>
      <xdr:colOff>116841</xdr:colOff>
      <xdr:row>3</xdr:row>
      <xdr:rowOff>100330</xdr:rowOff>
    </xdr:to>
    <xdr:pic>
      <xdr:nvPicPr>
        <xdr:cNvPr id="2" name="Picture 2" descr="LOGO ASC-2">
          <a:extLst>
            <a:ext uri="{FF2B5EF4-FFF2-40B4-BE49-F238E27FC236}">
              <a16:creationId xmlns:a16="http://schemas.microsoft.com/office/drawing/2014/main" id="{D2FA31CA-758F-477D-91BF-F56B0CE9B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145" y="107315"/>
          <a:ext cx="1331596" cy="680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107950</xdr:colOff>
          <xdr:row>19</xdr:row>
          <xdr:rowOff>0</xdr:rowOff>
        </xdr:from>
        <xdr:to>
          <xdr:col>18</xdr:col>
          <xdr:colOff>76200</xdr:colOff>
          <xdr:row>19</xdr:row>
          <xdr:rowOff>228600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Material (ML)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107950</xdr:colOff>
          <xdr:row>20</xdr:row>
          <xdr:rowOff>0</xdr:rowOff>
        </xdr:from>
        <xdr:to>
          <xdr:col>18</xdr:col>
          <xdr:colOff>76200</xdr:colOff>
          <xdr:row>20</xdr:row>
          <xdr:rowOff>228600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Machine (ME)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107950</xdr:colOff>
          <xdr:row>18</xdr:row>
          <xdr:rowOff>0</xdr:rowOff>
        </xdr:from>
        <xdr:to>
          <xdr:col>18</xdr:col>
          <xdr:colOff>60960</xdr:colOff>
          <xdr:row>19</xdr:row>
          <xdr:rowOff>25400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Man (MN)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101600</xdr:colOff>
          <xdr:row>17</xdr:row>
          <xdr:rowOff>387350</xdr:rowOff>
        </xdr:from>
        <xdr:to>
          <xdr:col>27</xdr:col>
          <xdr:colOff>101600</xdr:colOff>
          <xdr:row>18</xdr:row>
          <xdr:rowOff>228600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Method (MD)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101600</xdr:colOff>
          <xdr:row>18</xdr:row>
          <xdr:rowOff>387350</xdr:rowOff>
        </xdr:from>
        <xdr:to>
          <xdr:col>27</xdr:col>
          <xdr:colOff>101600</xdr:colOff>
          <xdr:row>19</xdr:row>
          <xdr:rowOff>228600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External (EL)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196850</xdr:colOff>
          <xdr:row>19</xdr:row>
          <xdr:rowOff>0</xdr:rowOff>
        </xdr:from>
        <xdr:to>
          <xdr:col>34</xdr:col>
          <xdr:colOff>58420</xdr:colOff>
          <xdr:row>19</xdr:row>
          <xdr:rowOff>228600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Repair (BR)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196850</xdr:colOff>
          <xdr:row>20</xdr:row>
          <xdr:rowOff>0</xdr:rowOff>
        </xdr:from>
        <xdr:to>
          <xdr:col>34</xdr:col>
          <xdr:colOff>58420</xdr:colOff>
          <xdr:row>20</xdr:row>
          <xdr:rowOff>228600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Scheduling (BS)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196850</xdr:colOff>
          <xdr:row>18</xdr:row>
          <xdr:rowOff>0</xdr:rowOff>
        </xdr:from>
        <xdr:to>
          <xdr:col>34</xdr:col>
          <xdr:colOff>58420</xdr:colOff>
          <xdr:row>18</xdr:row>
          <xdr:rowOff>213360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Prevention (BV)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19</xdr:row>
          <xdr:rowOff>0</xdr:rowOff>
        </xdr:from>
        <xdr:to>
          <xdr:col>40</xdr:col>
          <xdr:colOff>99060</xdr:colOff>
          <xdr:row>19</xdr:row>
          <xdr:rowOff>228600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Repair (BR)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20</xdr:row>
          <xdr:rowOff>0</xdr:rowOff>
        </xdr:from>
        <xdr:to>
          <xdr:col>40</xdr:col>
          <xdr:colOff>99060</xdr:colOff>
          <xdr:row>20</xdr:row>
          <xdr:rowOff>228600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Scheduling (BS)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152400</xdr:colOff>
          <xdr:row>18</xdr:row>
          <xdr:rowOff>0</xdr:rowOff>
        </xdr:from>
        <xdr:to>
          <xdr:col>40</xdr:col>
          <xdr:colOff>99060</xdr:colOff>
          <xdr:row>18</xdr:row>
          <xdr:rowOff>213360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Bad Prevention (BV)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260350</xdr:colOff>
          <xdr:row>18</xdr:row>
          <xdr:rowOff>0</xdr:rowOff>
        </xdr:from>
        <xdr:to>
          <xdr:col>45</xdr:col>
          <xdr:colOff>139700</xdr:colOff>
          <xdr:row>18</xdr:row>
          <xdr:rowOff>228600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2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Process Condition (PC)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260350</xdr:colOff>
          <xdr:row>19</xdr:row>
          <xdr:rowOff>0</xdr:rowOff>
        </xdr:from>
        <xdr:to>
          <xdr:col>45</xdr:col>
          <xdr:colOff>139700</xdr:colOff>
          <xdr:row>19</xdr:row>
          <xdr:rowOff>228600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2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Miss Operation (MO)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260350</xdr:colOff>
          <xdr:row>20</xdr:row>
          <xdr:rowOff>0</xdr:rowOff>
        </xdr:from>
        <xdr:to>
          <xdr:col>45</xdr:col>
          <xdr:colOff>139700</xdr:colOff>
          <xdr:row>20</xdr:row>
          <xdr:rowOff>228600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2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External (EX)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9</xdr:row>
      <xdr:rowOff>0</xdr:rowOff>
    </xdr:from>
    <xdr:to>
      <xdr:col>6</xdr:col>
      <xdr:colOff>95250</xdr:colOff>
      <xdr:row>9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E12B9CDB-9DFA-4446-9BD4-EE8FF540D61D}"/>
            </a:ext>
          </a:extLst>
        </xdr:cNvPr>
        <xdr:cNvSpPr>
          <a:spLocks noChangeShapeType="1"/>
        </xdr:cNvSpPr>
      </xdr:nvSpPr>
      <xdr:spPr bwMode="auto">
        <a:xfrm>
          <a:off x="1638300" y="19583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161925</xdr:colOff>
      <xdr:row>0</xdr:row>
      <xdr:rowOff>66675</xdr:rowOff>
    </xdr:from>
    <xdr:to>
      <xdr:col>5</xdr:col>
      <xdr:colOff>38100</xdr:colOff>
      <xdr:row>3</xdr:row>
      <xdr:rowOff>176530</xdr:rowOff>
    </xdr:to>
    <xdr:pic>
      <xdr:nvPicPr>
        <xdr:cNvPr id="3" name="Picture 8" descr="LOGO ASC-2">
          <a:extLst>
            <a:ext uri="{FF2B5EF4-FFF2-40B4-BE49-F238E27FC236}">
              <a16:creationId xmlns:a16="http://schemas.microsoft.com/office/drawing/2014/main" id="{E7E34058-DAAA-4690-BF9A-FF910DC3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65" y="65405"/>
          <a:ext cx="119951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127000</xdr:colOff>
          <xdr:row>58</xdr:row>
          <xdr:rowOff>0</xdr:rowOff>
        </xdr:from>
        <xdr:to>
          <xdr:col>3</xdr:col>
          <xdr:colOff>114300</xdr:colOff>
          <xdr:row>60</xdr:row>
          <xdr:rowOff>139700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95250</xdr:colOff>
      <xdr:row>11</xdr:row>
      <xdr:rowOff>0</xdr:rowOff>
    </xdr:from>
    <xdr:to>
      <xdr:col>6</xdr:col>
      <xdr:colOff>95250</xdr:colOff>
      <xdr:row>11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DA6A30A0-5C70-4FB2-98FE-577F0BDFD9C7}"/>
            </a:ext>
          </a:extLst>
        </xdr:cNvPr>
        <xdr:cNvSpPr>
          <a:spLocks noChangeShapeType="1"/>
        </xdr:cNvSpPr>
      </xdr:nvSpPr>
      <xdr:spPr bwMode="auto">
        <a:xfrm>
          <a:off x="1638300" y="227838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95250</xdr:colOff>
      <xdr:row>13</xdr:row>
      <xdr:rowOff>0</xdr:rowOff>
    </xdr:from>
    <xdr:to>
      <xdr:col>6</xdr:col>
      <xdr:colOff>95250</xdr:colOff>
      <xdr:row>13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D5D337D8-74EC-42D5-9A89-C65A208ADFF2}"/>
            </a:ext>
          </a:extLst>
        </xdr:cNvPr>
        <xdr:cNvSpPr>
          <a:spLocks noChangeShapeType="1"/>
        </xdr:cNvSpPr>
      </xdr:nvSpPr>
      <xdr:spPr bwMode="auto">
        <a:xfrm>
          <a:off x="1638300" y="25984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5</xdr:col>
      <xdr:colOff>38100</xdr:colOff>
      <xdr:row>3</xdr:row>
      <xdr:rowOff>177800</xdr:rowOff>
    </xdr:to>
    <xdr:pic>
      <xdr:nvPicPr>
        <xdr:cNvPr id="2" name="Picture 8" descr="LOGO ASC-2">
          <a:extLst>
            <a:ext uri="{FF2B5EF4-FFF2-40B4-BE49-F238E27FC236}">
              <a16:creationId xmlns:a16="http://schemas.microsoft.com/office/drawing/2014/main" id="{79E7DA46-CA18-4D5A-9B58-B223E0A5F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65" y="65405"/>
          <a:ext cx="1199515" cy="795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C5BF-EA2E-438E-8B04-D08A44D907E0}">
  <sheetPr>
    <tabColor rgb="FFFFC000"/>
    <pageSetUpPr fitToPage="1"/>
  </sheetPr>
  <dimension ref="A1:EN65"/>
  <sheetViews>
    <sheetView zoomScale="107" zoomScaleNormal="107" zoomScaleSheetLayoutView="115" workbookViewId="0">
      <selection activeCell="N6" sqref="N6:W6"/>
    </sheetView>
  </sheetViews>
  <sheetFormatPr defaultColWidth="2.54296875" defaultRowHeight="18" customHeight="1" x14ac:dyDescent="0.35"/>
  <cols>
    <col min="1" max="21" width="2.54296875" style="21"/>
    <col min="22" max="22" width="1.7265625" style="21" customWidth="1"/>
    <col min="23" max="27" width="2.54296875" style="21"/>
    <col min="28" max="28" width="1.1796875" style="21" customWidth="1"/>
    <col min="29" max="33" width="2.54296875" style="21"/>
    <col min="34" max="34" width="1.26953125" style="21" customWidth="1"/>
    <col min="35" max="37" width="2.54296875" style="21"/>
    <col min="38" max="38" width="1.453125" style="21" customWidth="1"/>
    <col min="39" max="39" width="2.54296875" style="21"/>
    <col min="40" max="40" width="2.54296875" style="21" customWidth="1"/>
    <col min="41" max="41" width="3.453125" style="21" customWidth="1"/>
    <col min="42" max="42" width="2.54296875" style="21"/>
    <col min="43" max="46" width="3.453125" style="21" customWidth="1"/>
    <col min="47" max="56" width="2.54296875" style="21"/>
    <col min="57" max="57" width="3.54296875" style="21" bestFit="1" customWidth="1"/>
    <col min="58" max="88" width="2.54296875" style="21"/>
    <col min="89" max="89" width="8.26953125" style="21" bestFit="1" customWidth="1"/>
    <col min="90" max="298" width="2.54296875" style="21"/>
    <col min="299" max="302" width="3.453125" style="21" customWidth="1"/>
    <col min="303" max="554" width="2.54296875" style="21"/>
    <col min="555" max="558" width="3.453125" style="21" customWidth="1"/>
    <col min="559" max="810" width="2.54296875" style="21"/>
    <col min="811" max="814" width="3.453125" style="21" customWidth="1"/>
    <col min="815" max="1066" width="2.54296875" style="21"/>
    <col min="1067" max="1070" width="3.453125" style="21" customWidth="1"/>
    <col min="1071" max="1322" width="2.54296875" style="21"/>
    <col min="1323" max="1326" width="3.453125" style="21" customWidth="1"/>
    <col min="1327" max="1578" width="2.54296875" style="21"/>
    <col min="1579" max="1582" width="3.453125" style="21" customWidth="1"/>
    <col min="1583" max="1834" width="2.54296875" style="21"/>
    <col min="1835" max="1838" width="3.453125" style="21" customWidth="1"/>
    <col min="1839" max="2090" width="2.54296875" style="21"/>
    <col min="2091" max="2094" width="3.453125" style="21" customWidth="1"/>
    <col min="2095" max="2346" width="2.54296875" style="21"/>
    <col min="2347" max="2350" width="3.453125" style="21" customWidth="1"/>
    <col min="2351" max="2602" width="2.54296875" style="21"/>
    <col min="2603" max="2606" width="3.453125" style="21" customWidth="1"/>
    <col min="2607" max="2858" width="2.54296875" style="21"/>
    <col min="2859" max="2862" width="3.453125" style="21" customWidth="1"/>
    <col min="2863" max="3114" width="2.54296875" style="21"/>
    <col min="3115" max="3118" width="3.453125" style="21" customWidth="1"/>
    <col min="3119" max="3370" width="2.54296875" style="21"/>
    <col min="3371" max="3374" width="3.453125" style="21" customWidth="1"/>
    <col min="3375" max="3626" width="2.54296875" style="21"/>
    <col min="3627" max="3630" width="3.453125" style="21" customWidth="1"/>
    <col min="3631" max="3882" width="2.54296875" style="21"/>
    <col min="3883" max="3886" width="3.453125" style="21" customWidth="1"/>
    <col min="3887" max="4138" width="2.54296875" style="21"/>
    <col min="4139" max="4142" width="3.453125" style="21" customWidth="1"/>
    <col min="4143" max="4394" width="2.54296875" style="21"/>
    <col min="4395" max="4398" width="3.453125" style="21" customWidth="1"/>
    <col min="4399" max="4650" width="2.54296875" style="21"/>
    <col min="4651" max="4654" width="3.453125" style="21" customWidth="1"/>
    <col min="4655" max="4906" width="2.54296875" style="21"/>
    <col min="4907" max="4910" width="3.453125" style="21" customWidth="1"/>
    <col min="4911" max="5162" width="2.54296875" style="21"/>
    <col min="5163" max="5166" width="3.453125" style="21" customWidth="1"/>
    <col min="5167" max="5418" width="2.54296875" style="21"/>
    <col min="5419" max="5422" width="3.453125" style="21" customWidth="1"/>
    <col min="5423" max="5674" width="2.54296875" style="21"/>
    <col min="5675" max="5678" width="3.453125" style="21" customWidth="1"/>
    <col min="5679" max="5930" width="2.54296875" style="21"/>
    <col min="5931" max="5934" width="3.453125" style="21" customWidth="1"/>
    <col min="5935" max="6186" width="2.54296875" style="21"/>
    <col min="6187" max="6190" width="3.453125" style="21" customWidth="1"/>
    <col min="6191" max="6442" width="2.54296875" style="21"/>
    <col min="6443" max="6446" width="3.453125" style="21" customWidth="1"/>
    <col min="6447" max="6698" width="2.54296875" style="21"/>
    <col min="6699" max="6702" width="3.453125" style="21" customWidth="1"/>
    <col min="6703" max="6954" width="2.54296875" style="21"/>
    <col min="6955" max="6958" width="3.453125" style="21" customWidth="1"/>
    <col min="6959" max="7210" width="2.54296875" style="21"/>
    <col min="7211" max="7214" width="3.453125" style="21" customWidth="1"/>
    <col min="7215" max="7466" width="2.54296875" style="21"/>
    <col min="7467" max="7470" width="3.453125" style="21" customWidth="1"/>
    <col min="7471" max="7722" width="2.54296875" style="21"/>
    <col min="7723" max="7726" width="3.453125" style="21" customWidth="1"/>
    <col min="7727" max="7978" width="2.54296875" style="21"/>
    <col min="7979" max="7982" width="3.453125" style="21" customWidth="1"/>
    <col min="7983" max="8234" width="2.54296875" style="21"/>
    <col min="8235" max="8238" width="3.453125" style="21" customWidth="1"/>
    <col min="8239" max="8490" width="2.54296875" style="21"/>
    <col min="8491" max="8494" width="3.453125" style="21" customWidth="1"/>
    <col min="8495" max="8746" width="2.54296875" style="21"/>
    <col min="8747" max="8750" width="3.453125" style="21" customWidth="1"/>
    <col min="8751" max="9002" width="2.54296875" style="21"/>
    <col min="9003" max="9006" width="3.453125" style="21" customWidth="1"/>
    <col min="9007" max="9258" width="2.54296875" style="21"/>
    <col min="9259" max="9262" width="3.453125" style="21" customWidth="1"/>
    <col min="9263" max="9514" width="2.54296875" style="21"/>
    <col min="9515" max="9518" width="3.453125" style="21" customWidth="1"/>
    <col min="9519" max="9770" width="2.54296875" style="21"/>
    <col min="9771" max="9774" width="3.453125" style="21" customWidth="1"/>
    <col min="9775" max="10026" width="2.54296875" style="21"/>
    <col min="10027" max="10030" width="3.453125" style="21" customWidth="1"/>
    <col min="10031" max="10282" width="2.54296875" style="21"/>
    <col min="10283" max="10286" width="3.453125" style="21" customWidth="1"/>
    <col min="10287" max="10538" width="2.54296875" style="21"/>
    <col min="10539" max="10542" width="3.453125" style="21" customWidth="1"/>
    <col min="10543" max="10794" width="2.54296875" style="21"/>
    <col min="10795" max="10798" width="3.453125" style="21" customWidth="1"/>
    <col min="10799" max="11050" width="2.54296875" style="21"/>
    <col min="11051" max="11054" width="3.453125" style="21" customWidth="1"/>
    <col min="11055" max="11306" width="2.54296875" style="21"/>
    <col min="11307" max="11310" width="3.453125" style="21" customWidth="1"/>
    <col min="11311" max="11562" width="2.54296875" style="21"/>
    <col min="11563" max="11566" width="3.453125" style="21" customWidth="1"/>
    <col min="11567" max="11818" width="2.54296875" style="21"/>
    <col min="11819" max="11822" width="3.453125" style="21" customWidth="1"/>
    <col min="11823" max="12074" width="2.54296875" style="21"/>
    <col min="12075" max="12078" width="3.453125" style="21" customWidth="1"/>
    <col min="12079" max="12330" width="2.54296875" style="21"/>
    <col min="12331" max="12334" width="3.453125" style="21" customWidth="1"/>
    <col min="12335" max="12586" width="2.54296875" style="21"/>
    <col min="12587" max="12590" width="3.453125" style="21" customWidth="1"/>
    <col min="12591" max="12842" width="2.54296875" style="21"/>
    <col min="12843" max="12846" width="3.453125" style="21" customWidth="1"/>
    <col min="12847" max="13098" width="2.54296875" style="21"/>
    <col min="13099" max="13102" width="3.453125" style="21" customWidth="1"/>
    <col min="13103" max="13354" width="2.54296875" style="21"/>
    <col min="13355" max="13358" width="3.453125" style="21" customWidth="1"/>
    <col min="13359" max="13610" width="2.54296875" style="21"/>
    <col min="13611" max="13614" width="3.453125" style="21" customWidth="1"/>
    <col min="13615" max="13866" width="2.54296875" style="21"/>
    <col min="13867" max="13870" width="3.453125" style="21" customWidth="1"/>
    <col min="13871" max="14122" width="2.54296875" style="21"/>
    <col min="14123" max="14126" width="3.453125" style="21" customWidth="1"/>
    <col min="14127" max="14378" width="2.54296875" style="21"/>
    <col min="14379" max="14382" width="3.453125" style="21" customWidth="1"/>
    <col min="14383" max="14634" width="2.54296875" style="21"/>
    <col min="14635" max="14638" width="3.453125" style="21" customWidth="1"/>
    <col min="14639" max="14890" width="2.54296875" style="21"/>
    <col min="14891" max="14894" width="3.453125" style="21" customWidth="1"/>
    <col min="14895" max="15146" width="2.54296875" style="21"/>
    <col min="15147" max="15150" width="3.453125" style="21" customWidth="1"/>
    <col min="15151" max="15402" width="2.54296875" style="21"/>
    <col min="15403" max="15406" width="3.453125" style="21" customWidth="1"/>
    <col min="15407" max="15658" width="2.54296875" style="21"/>
    <col min="15659" max="15662" width="3.453125" style="21" customWidth="1"/>
    <col min="15663" max="15914" width="2.54296875" style="21"/>
    <col min="15915" max="15918" width="3.453125" style="21" customWidth="1"/>
    <col min="15919" max="16170" width="2.54296875" style="21"/>
    <col min="16171" max="16174" width="3.453125" style="21" customWidth="1"/>
    <col min="16175" max="16384" width="2.54296875" style="21"/>
  </cols>
  <sheetData>
    <row r="1" spans="1:144" ht="18" customHeight="1" x14ac:dyDescent="0.35">
      <c r="A1" s="15"/>
      <c r="B1" s="16"/>
      <c r="C1" s="16"/>
      <c r="D1" s="16"/>
      <c r="E1" s="16"/>
      <c r="F1" s="16"/>
      <c r="G1" s="16"/>
      <c r="H1" s="16"/>
      <c r="I1" s="17"/>
      <c r="J1" s="484" t="s">
        <v>244</v>
      </c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6"/>
      <c r="AK1" s="18" t="s">
        <v>245</v>
      </c>
      <c r="AL1" s="18"/>
      <c r="AM1" s="212" t="s">
        <v>246</v>
      </c>
      <c r="AN1" s="18" t="s">
        <v>247</v>
      </c>
      <c r="AO1" s="18"/>
      <c r="AP1" s="18"/>
      <c r="AQ1" s="18"/>
      <c r="AR1" s="18"/>
      <c r="AS1" s="18"/>
      <c r="AT1" s="20"/>
      <c r="AX1" s="15"/>
      <c r="AY1" s="16"/>
      <c r="AZ1" s="16"/>
      <c r="BA1" s="16"/>
      <c r="BB1" s="16"/>
      <c r="BC1" s="16"/>
      <c r="BD1" s="16"/>
      <c r="BE1" s="16"/>
      <c r="BF1" s="17"/>
      <c r="BG1" s="484" t="s">
        <v>244</v>
      </c>
      <c r="BH1" s="485"/>
      <c r="BI1" s="485"/>
      <c r="BJ1" s="485"/>
      <c r="BK1" s="485"/>
      <c r="BL1" s="485"/>
      <c r="BM1" s="485"/>
      <c r="BN1" s="485"/>
      <c r="BO1" s="485"/>
      <c r="BP1" s="485"/>
      <c r="BQ1" s="485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6"/>
      <c r="CH1" s="18" t="s">
        <v>245</v>
      </c>
      <c r="CI1" s="18"/>
      <c r="CJ1" s="212" t="s">
        <v>246</v>
      </c>
      <c r="CK1" s="18"/>
      <c r="CL1" s="18"/>
      <c r="CM1" s="18"/>
      <c r="CN1" s="18"/>
      <c r="CO1" s="18"/>
      <c r="CP1" s="18"/>
      <c r="CQ1" s="20"/>
      <c r="CU1" s="15"/>
      <c r="CV1" s="16"/>
      <c r="CW1" s="16"/>
      <c r="CX1" s="16"/>
      <c r="CY1" s="16"/>
      <c r="CZ1" s="16"/>
      <c r="DA1" s="16"/>
      <c r="DB1" s="16"/>
      <c r="DC1" s="17"/>
      <c r="DD1" s="484" t="s">
        <v>244</v>
      </c>
      <c r="DE1" s="485"/>
      <c r="DF1" s="485"/>
      <c r="DG1" s="485"/>
      <c r="DH1" s="485"/>
      <c r="DI1" s="485"/>
      <c r="DJ1" s="485"/>
      <c r="DK1" s="485"/>
      <c r="DL1" s="485"/>
      <c r="DM1" s="485"/>
      <c r="DN1" s="485"/>
      <c r="DO1" s="485"/>
      <c r="DP1" s="485"/>
      <c r="DQ1" s="485"/>
      <c r="DR1" s="485"/>
      <c r="DS1" s="485"/>
      <c r="DT1" s="485"/>
      <c r="DU1" s="485"/>
      <c r="DV1" s="485"/>
      <c r="DW1" s="485"/>
      <c r="DX1" s="485"/>
      <c r="DY1" s="485"/>
      <c r="DZ1" s="485"/>
      <c r="EA1" s="485"/>
      <c r="EB1" s="485"/>
      <c r="EC1" s="485"/>
      <c r="ED1" s="486"/>
      <c r="EE1" s="18" t="s">
        <v>245</v>
      </c>
      <c r="EF1" s="18"/>
      <c r="EG1" s="212" t="s">
        <v>246</v>
      </c>
      <c r="EH1" s="18"/>
      <c r="EI1" s="18"/>
      <c r="EJ1" s="18"/>
      <c r="EK1" s="18"/>
      <c r="EL1" s="18"/>
      <c r="EM1" s="18"/>
      <c r="EN1" s="20"/>
    </row>
    <row r="2" spans="1:144" ht="18" customHeight="1" x14ac:dyDescent="0.35">
      <c r="A2" s="22"/>
      <c r="I2" s="23"/>
      <c r="J2" s="487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9"/>
      <c r="AK2" s="24" t="s">
        <v>248</v>
      </c>
      <c r="AL2" s="24"/>
      <c r="AM2" s="99" t="s">
        <v>246</v>
      </c>
      <c r="AN2" s="27" t="s">
        <v>304</v>
      </c>
      <c r="AO2" s="27"/>
      <c r="AP2" s="24"/>
      <c r="AQ2" s="24"/>
      <c r="AR2" s="24"/>
      <c r="AS2" s="24"/>
      <c r="AT2" s="28"/>
      <c r="AX2" s="22"/>
      <c r="BF2" s="23"/>
      <c r="BG2" s="487"/>
      <c r="BH2" s="488"/>
      <c r="BI2" s="488"/>
      <c r="BJ2" s="488"/>
      <c r="BK2" s="488"/>
      <c r="BL2" s="488"/>
      <c r="BM2" s="488"/>
      <c r="BN2" s="488"/>
      <c r="BO2" s="488"/>
      <c r="BP2" s="488"/>
      <c r="BQ2" s="488"/>
      <c r="BR2" s="488"/>
      <c r="BS2" s="488"/>
      <c r="BT2" s="488"/>
      <c r="BU2" s="488"/>
      <c r="BV2" s="488"/>
      <c r="BW2" s="488"/>
      <c r="BX2" s="488"/>
      <c r="BY2" s="488"/>
      <c r="BZ2" s="488"/>
      <c r="CA2" s="488"/>
      <c r="CB2" s="488"/>
      <c r="CC2" s="488"/>
      <c r="CD2" s="488"/>
      <c r="CE2" s="488"/>
      <c r="CF2" s="488"/>
      <c r="CG2" s="489"/>
      <c r="CH2" s="24" t="s">
        <v>248</v>
      </c>
      <c r="CI2" s="24"/>
      <c r="CJ2" s="99" t="s">
        <v>246</v>
      </c>
      <c r="CK2" s="27"/>
      <c r="CL2" s="27"/>
      <c r="CM2" s="24"/>
      <c r="CN2" s="24"/>
      <c r="CO2" s="24"/>
      <c r="CP2" s="24"/>
      <c r="CQ2" s="28"/>
      <c r="CU2" s="22"/>
      <c r="DC2" s="23"/>
      <c r="DD2" s="487"/>
      <c r="DE2" s="488"/>
      <c r="DF2" s="488"/>
      <c r="DG2" s="488"/>
      <c r="DH2" s="488"/>
      <c r="DI2" s="488"/>
      <c r="DJ2" s="488"/>
      <c r="DK2" s="488"/>
      <c r="DL2" s="488"/>
      <c r="DM2" s="488"/>
      <c r="DN2" s="488"/>
      <c r="DO2" s="488"/>
      <c r="DP2" s="488"/>
      <c r="DQ2" s="488"/>
      <c r="DR2" s="488"/>
      <c r="DS2" s="488"/>
      <c r="DT2" s="488"/>
      <c r="DU2" s="488"/>
      <c r="DV2" s="488"/>
      <c r="DW2" s="488"/>
      <c r="DX2" s="488"/>
      <c r="DY2" s="488"/>
      <c r="DZ2" s="488"/>
      <c r="EA2" s="488"/>
      <c r="EB2" s="488"/>
      <c r="EC2" s="488"/>
      <c r="ED2" s="489"/>
      <c r="EE2" s="24" t="s">
        <v>248</v>
      </c>
      <c r="EF2" s="24"/>
      <c r="EG2" s="99" t="s">
        <v>246</v>
      </c>
      <c r="EH2" s="27"/>
      <c r="EI2" s="27"/>
      <c r="EJ2" s="24"/>
      <c r="EK2" s="24"/>
      <c r="EL2" s="24"/>
      <c r="EM2" s="24"/>
      <c r="EN2" s="28"/>
    </row>
    <row r="3" spans="1:144" ht="18" customHeight="1" x14ac:dyDescent="0.35">
      <c r="A3" s="22"/>
      <c r="I3" s="23"/>
      <c r="J3" s="490" t="s">
        <v>249</v>
      </c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2"/>
      <c r="AK3" s="24" t="s">
        <v>250</v>
      </c>
      <c r="AL3" s="24"/>
      <c r="AM3" s="99" t="s">
        <v>246</v>
      </c>
      <c r="AN3" s="29" t="s">
        <v>376</v>
      </c>
      <c r="AO3" s="27"/>
      <c r="AP3" s="24"/>
      <c r="AQ3" s="24"/>
      <c r="AR3" s="24"/>
      <c r="AS3" s="24"/>
      <c r="AT3" s="28"/>
      <c r="AX3" s="22"/>
      <c r="BF3" s="23"/>
      <c r="BG3" s="496" t="s">
        <v>377</v>
      </c>
      <c r="BH3" s="497"/>
      <c r="BI3" s="497"/>
      <c r="BJ3" s="497"/>
      <c r="BK3" s="497"/>
      <c r="BL3" s="497"/>
      <c r="BM3" s="497"/>
      <c r="BN3" s="497"/>
      <c r="BO3" s="497"/>
      <c r="BP3" s="497"/>
      <c r="BQ3" s="497"/>
      <c r="BR3" s="497"/>
      <c r="BS3" s="497"/>
      <c r="BT3" s="497"/>
      <c r="BU3" s="497"/>
      <c r="BV3" s="497"/>
      <c r="BW3" s="497"/>
      <c r="BX3" s="497"/>
      <c r="BY3" s="497"/>
      <c r="BZ3" s="497"/>
      <c r="CA3" s="497"/>
      <c r="CB3" s="497"/>
      <c r="CC3" s="497"/>
      <c r="CD3" s="497"/>
      <c r="CE3" s="497"/>
      <c r="CF3" s="497"/>
      <c r="CG3" s="498"/>
      <c r="CH3" s="24" t="s">
        <v>250</v>
      </c>
      <c r="CI3" s="24"/>
      <c r="CJ3" s="99" t="s">
        <v>246</v>
      </c>
      <c r="CK3" s="29">
        <v>46073</v>
      </c>
      <c r="CL3" s="27"/>
      <c r="CM3" s="24"/>
      <c r="CN3" s="24"/>
      <c r="CO3" s="24"/>
      <c r="CP3" s="24"/>
      <c r="CQ3" s="28"/>
      <c r="CU3" s="22"/>
      <c r="DC3" s="23"/>
      <c r="DD3" s="496" t="s">
        <v>377</v>
      </c>
      <c r="DE3" s="497"/>
      <c r="DF3" s="497"/>
      <c r="DG3" s="497"/>
      <c r="DH3" s="497"/>
      <c r="DI3" s="497"/>
      <c r="DJ3" s="497"/>
      <c r="DK3" s="497"/>
      <c r="DL3" s="497"/>
      <c r="DM3" s="497"/>
      <c r="DN3" s="497"/>
      <c r="DO3" s="497"/>
      <c r="DP3" s="497"/>
      <c r="DQ3" s="497"/>
      <c r="DR3" s="497"/>
      <c r="DS3" s="497"/>
      <c r="DT3" s="497"/>
      <c r="DU3" s="497"/>
      <c r="DV3" s="497"/>
      <c r="DW3" s="497"/>
      <c r="DX3" s="497"/>
      <c r="DY3" s="497"/>
      <c r="DZ3" s="497"/>
      <c r="EA3" s="497"/>
      <c r="EB3" s="497"/>
      <c r="EC3" s="497"/>
      <c r="ED3" s="498"/>
      <c r="EE3" s="24" t="s">
        <v>250</v>
      </c>
      <c r="EF3" s="24"/>
      <c r="EG3" s="99" t="s">
        <v>246</v>
      </c>
      <c r="EH3" s="29">
        <v>46073</v>
      </c>
      <c r="EI3" s="27"/>
      <c r="EJ3" s="24"/>
      <c r="EK3" s="24"/>
      <c r="EL3" s="24"/>
      <c r="EM3" s="24"/>
      <c r="EN3" s="28"/>
    </row>
    <row r="4" spans="1:144" ht="18" customHeight="1" thickBot="1" x14ac:dyDescent="0.4">
      <c r="A4" s="30"/>
      <c r="B4" s="481"/>
      <c r="C4" s="481"/>
      <c r="D4" s="481"/>
      <c r="E4" s="481"/>
      <c r="F4" s="481"/>
      <c r="G4" s="481"/>
      <c r="H4" s="481"/>
      <c r="I4" s="31"/>
      <c r="J4" s="493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5"/>
      <c r="AK4" s="482" t="s">
        <v>252</v>
      </c>
      <c r="AL4" s="483"/>
      <c r="AM4" s="213" t="s">
        <v>246</v>
      </c>
      <c r="AN4" s="32"/>
      <c r="AO4" s="32"/>
      <c r="AP4" s="32" t="s">
        <v>253</v>
      </c>
      <c r="AQ4" s="32"/>
      <c r="AR4" s="32"/>
      <c r="AS4" s="32"/>
      <c r="AT4" s="34"/>
      <c r="AX4" s="30"/>
      <c r="AY4" s="481"/>
      <c r="AZ4" s="481"/>
      <c r="BA4" s="481"/>
      <c r="BB4" s="481"/>
      <c r="BC4" s="481"/>
      <c r="BD4" s="481"/>
      <c r="BE4" s="481"/>
      <c r="BF4" s="31"/>
      <c r="BG4" s="499"/>
      <c r="BH4" s="500"/>
      <c r="BI4" s="500"/>
      <c r="BJ4" s="500"/>
      <c r="BK4" s="500"/>
      <c r="BL4" s="500"/>
      <c r="BM4" s="500"/>
      <c r="BN4" s="500"/>
      <c r="BO4" s="500"/>
      <c r="BP4" s="500"/>
      <c r="BQ4" s="500"/>
      <c r="BR4" s="500"/>
      <c r="BS4" s="500"/>
      <c r="BT4" s="500"/>
      <c r="BU4" s="500"/>
      <c r="BV4" s="500"/>
      <c r="BW4" s="500"/>
      <c r="BX4" s="500"/>
      <c r="BY4" s="500"/>
      <c r="BZ4" s="500"/>
      <c r="CA4" s="500"/>
      <c r="CB4" s="500"/>
      <c r="CC4" s="500"/>
      <c r="CD4" s="500"/>
      <c r="CE4" s="500"/>
      <c r="CF4" s="500"/>
      <c r="CG4" s="501"/>
      <c r="CH4" s="482" t="s">
        <v>252</v>
      </c>
      <c r="CI4" s="483"/>
      <c r="CJ4" s="213" t="s">
        <v>246</v>
      </c>
      <c r="CK4" s="32"/>
      <c r="CL4" s="32"/>
      <c r="CM4" s="32" t="s">
        <v>253</v>
      </c>
      <c r="CN4" s="32"/>
      <c r="CO4" s="32"/>
      <c r="CP4" s="32"/>
      <c r="CQ4" s="34"/>
      <c r="CU4" s="30"/>
      <c r="CV4" s="481"/>
      <c r="CW4" s="481"/>
      <c r="CX4" s="481"/>
      <c r="CY4" s="481"/>
      <c r="CZ4" s="481"/>
      <c r="DA4" s="481"/>
      <c r="DB4" s="481"/>
      <c r="DC4" s="31"/>
      <c r="DD4" s="499"/>
      <c r="DE4" s="500"/>
      <c r="DF4" s="500"/>
      <c r="DG4" s="500"/>
      <c r="DH4" s="500"/>
      <c r="DI4" s="500"/>
      <c r="DJ4" s="500"/>
      <c r="DK4" s="500"/>
      <c r="DL4" s="500"/>
      <c r="DM4" s="500"/>
      <c r="DN4" s="500"/>
      <c r="DO4" s="500"/>
      <c r="DP4" s="500"/>
      <c r="DQ4" s="500"/>
      <c r="DR4" s="500"/>
      <c r="DS4" s="500"/>
      <c r="DT4" s="500"/>
      <c r="DU4" s="500"/>
      <c r="DV4" s="500"/>
      <c r="DW4" s="500"/>
      <c r="DX4" s="500"/>
      <c r="DY4" s="500"/>
      <c r="DZ4" s="500"/>
      <c r="EA4" s="500"/>
      <c r="EB4" s="500"/>
      <c r="EC4" s="500"/>
      <c r="ED4" s="501"/>
      <c r="EE4" s="482" t="s">
        <v>252</v>
      </c>
      <c r="EF4" s="483"/>
      <c r="EG4" s="213" t="s">
        <v>246</v>
      </c>
      <c r="EH4" s="32"/>
      <c r="EI4" s="32"/>
      <c r="EJ4" s="32" t="s">
        <v>253</v>
      </c>
      <c r="EK4" s="32"/>
      <c r="EL4" s="32"/>
      <c r="EM4" s="32"/>
      <c r="EN4" s="34"/>
    </row>
    <row r="5" spans="1:144" s="24" customFormat="1" ht="18" customHeight="1" x14ac:dyDescent="0.35">
      <c r="A5" s="520" t="s">
        <v>378</v>
      </c>
      <c r="B5" s="521"/>
      <c r="C5" s="521"/>
      <c r="D5" s="521"/>
      <c r="E5" s="522"/>
      <c r="F5" s="523" t="s">
        <v>379</v>
      </c>
      <c r="G5" s="524"/>
      <c r="H5" s="524"/>
      <c r="I5" s="524"/>
      <c r="J5" s="524"/>
      <c r="K5" s="524"/>
      <c r="L5" s="524"/>
      <c r="M5" s="525"/>
      <c r="N5" s="523" t="s">
        <v>28</v>
      </c>
      <c r="O5" s="524"/>
      <c r="P5" s="524"/>
      <c r="Q5" s="524"/>
      <c r="R5" s="524"/>
      <c r="S5" s="524"/>
      <c r="T5" s="524"/>
      <c r="U5" s="524"/>
      <c r="V5" s="524"/>
      <c r="W5" s="525"/>
      <c r="X5" s="214" t="s">
        <v>380</v>
      </c>
      <c r="Y5" s="25"/>
      <c r="Z5" s="25"/>
      <c r="AA5" s="25"/>
      <c r="AB5" s="25"/>
      <c r="AC5" s="215"/>
      <c r="AD5" s="526" t="s">
        <v>381</v>
      </c>
      <c r="AE5" s="527"/>
      <c r="AF5" s="527"/>
      <c r="AG5" s="527"/>
      <c r="AH5" s="527"/>
      <c r="AI5" s="527"/>
      <c r="AJ5" s="527"/>
      <c r="AK5" s="527"/>
      <c r="AL5" s="527"/>
      <c r="AM5" s="527"/>
      <c r="AN5" s="527"/>
      <c r="AO5" s="527"/>
      <c r="AP5" s="527"/>
      <c r="AQ5" s="527"/>
      <c r="AR5" s="527"/>
      <c r="AS5" s="527"/>
      <c r="AT5" s="528"/>
      <c r="AX5" s="216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217"/>
      <c r="CU5" s="216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217"/>
    </row>
    <row r="6" spans="1:144" s="24" customFormat="1" ht="18" customHeight="1" x14ac:dyDescent="0.35">
      <c r="A6" s="533" t="s">
        <v>55</v>
      </c>
      <c r="B6" s="534"/>
      <c r="C6" s="534"/>
      <c r="D6" s="534"/>
      <c r="E6" s="535"/>
      <c r="F6" s="536" t="s">
        <v>382</v>
      </c>
      <c r="G6" s="537"/>
      <c r="H6" s="537"/>
      <c r="I6" s="537"/>
      <c r="J6" s="537"/>
      <c r="K6" s="537"/>
      <c r="L6" s="537"/>
      <c r="M6" s="538"/>
      <c r="N6" s="536" t="s">
        <v>383</v>
      </c>
      <c r="O6" s="537"/>
      <c r="P6" s="537"/>
      <c r="Q6" s="537"/>
      <c r="R6" s="537"/>
      <c r="S6" s="537"/>
      <c r="T6" s="537"/>
      <c r="U6" s="537"/>
      <c r="V6" s="537"/>
      <c r="W6" s="538"/>
      <c r="X6" s="218" t="s">
        <v>384</v>
      </c>
      <c r="Y6" s="97"/>
      <c r="Z6" s="97"/>
      <c r="AA6" s="97"/>
      <c r="AB6" s="97"/>
      <c r="AC6" s="98"/>
      <c r="AD6" s="529"/>
      <c r="AE6" s="530"/>
      <c r="AF6" s="530"/>
      <c r="AG6" s="530"/>
      <c r="AH6" s="530"/>
      <c r="AI6" s="531"/>
      <c r="AJ6" s="531"/>
      <c r="AK6" s="531"/>
      <c r="AL6" s="531"/>
      <c r="AM6" s="531"/>
      <c r="AN6" s="531"/>
      <c r="AO6" s="531"/>
      <c r="AP6" s="530"/>
      <c r="AQ6" s="530"/>
      <c r="AR6" s="530"/>
      <c r="AS6" s="530"/>
      <c r="AT6" s="532"/>
      <c r="AX6" s="219" t="s">
        <v>385</v>
      </c>
      <c r="AY6" s="220" t="s">
        <v>386</v>
      </c>
      <c r="AZ6" s="221"/>
      <c r="CQ6" s="46"/>
      <c r="CU6" s="219" t="s">
        <v>387</v>
      </c>
      <c r="CV6" s="220" t="s">
        <v>388</v>
      </c>
      <c r="CW6" s="74"/>
      <c r="CX6" s="222"/>
      <c r="CY6" s="222"/>
      <c r="CZ6" s="222"/>
      <c r="DA6" s="222"/>
      <c r="DB6" s="222"/>
      <c r="DC6" s="222"/>
      <c r="DD6" s="222"/>
      <c r="DE6" s="222"/>
      <c r="DF6" s="222"/>
      <c r="DG6" s="222"/>
      <c r="DH6" s="222"/>
      <c r="EN6" s="46"/>
    </row>
    <row r="7" spans="1:144" s="24" customFormat="1" ht="18" customHeight="1" x14ac:dyDescent="0.35">
      <c r="A7" s="502" t="s">
        <v>254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4"/>
      <c r="N7" s="505" t="s">
        <v>389</v>
      </c>
      <c r="O7" s="506"/>
      <c r="P7" s="506"/>
      <c r="Q7" s="506"/>
      <c r="R7" s="506"/>
      <c r="S7" s="506"/>
      <c r="T7" s="506"/>
      <c r="U7" s="506"/>
      <c r="V7" s="506"/>
      <c r="W7" s="507"/>
      <c r="X7" s="508" t="s">
        <v>23</v>
      </c>
      <c r="Y7" s="503"/>
      <c r="Z7" s="503"/>
      <c r="AA7" s="503"/>
      <c r="AB7" s="503"/>
      <c r="AC7" s="504"/>
      <c r="AD7" s="509" t="s">
        <v>390</v>
      </c>
      <c r="AE7" s="510"/>
      <c r="AF7" s="510"/>
      <c r="AG7" s="510"/>
      <c r="AH7" s="510"/>
      <c r="AI7" s="510"/>
      <c r="AJ7" s="511"/>
      <c r="AK7" s="223" t="s">
        <v>256</v>
      </c>
      <c r="AL7" s="61"/>
      <c r="AM7" s="61"/>
      <c r="AN7" s="61"/>
      <c r="AO7" s="61"/>
      <c r="AP7" s="512" t="s">
        <v>391</v>
      </c>
      <c r="AQ7" s="513"/>
      <c r="AR7" s="513"/>
      <c r="AS7" s="513"/>
      <c r="AT7" s="514"/>
      <c r="AX7" s="102"/>
      <c r="AY7" s="224" t="s">
        <v>392</v>
      </c>
      <c r="AZ7" s="225" t="s">
        <v>393</v>
      </c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/>
      <c r="CO7" s="222"/>
      <c r="CP7" s="222"/>
      <c r="CQ7" s="226"/>
      <c r="CU7" s="227"/>
      <c r="CV7" s="224" t="s">
        <v>392</v>
      </c>
      <c r="CW7" s="222" t="s">
        <v>394</v>
      </c>
      <c r="CX7" s="222"/>
      <c r="CY7" s="222"/>
      <c r="CZ7" s="222"/>
      <c r="DA7" s="222"/>
      <c r="DB7" s="222"/>
      <c r="DC7" s="222"/>
      <c r="DD7" s="222"/>
      <c r="DE7" s="222"/>
      <c r="DF7" s="222"/>
      <c r="DG7" s="222"/>
      <c r="DH7" s="222"/>
      <c r="EN7" s="46"/>
    </row>
    <row r="8" spans="1:144" s="24" customFormat="1" ht="18" customHeight="1" x14ac:dyDescent="0.35">
      <c r="A8" s="502" t="s">
        <v>395</v>
      </c>
      <c r="B8" s="503"/>
      <c r="C8" s="503"/>
      <c r="D8" s="503"/>
      <c r="E8" s="503"/>
      <c r="F8" s="503"/>
      <c r="G8" s="503"/>
      <c r="H8" s="503"/>
      <c r="I8" s="503"/>
      <c r="J8" s="503"/>
      <c r="K8" s="503"/>
      <c r="L8" s="503"/>
      <c r="M8" s="504"/>
      <c r="N8" s="509" t="s">
        <v>396</v>
      </c>
      <c r="O8" s="510"/>
      <c r="P8" s="510"/>
      <c r="Q8" s="510"/>
      <c r="R8" s="510"/>
      <c r="S8" s="510"/>
      <c r="T8" s="510"/>
      <c r="U8" s="510"/>
      <c r="V8" s="510"/>
      <c r="W8" s="510"/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1"/>
      <c r="AK8" s="518" t="s">
        <v>397</v>
      </c>
      <c r="AL8" s="503"/>
      <c r="AM8" s="503"/>
      <c r="AN8" s="503"/>
      <c r="AO8" s="519"/>
      <c r="AP8" s="515"/>
      <c r="AQ8" s="516"/>
      <c r="AR8" s="516"/>
      <c r="AS8" s="516"/>
      <c r="AT8" s="517"/>
      <c r="AX8" s="102"/>
      <c r="AY8" s="224" t="s">
        <v>398</v>
      </c>
      <c r="AZ8" s="228" t="s">
        <v>399</v>
      </c>
      <c r="BA8" s="222"/>
      <c r="BB8" s="222"/>
      <c r="BC8" s="222"/>
      <c r="BD8" s="222"/>
      <c r="BE8" s="222"/>
      <c r="BF8" s="222"/>
      <c r="BG8" s="222"/>
      <c r="BH8" s="222"/>
      <c r="BI8" s="222"/>
      <c r="BJ8" s="222"/>
      <c r="BK8" s="222"/>
      <c r="BL8" s="222"/>
      <c r="BM8" s="222"/>
      <c r="BN8" s="222"/>
      <c r="BO8" s="222"/>
      <c r="BP8" s="222"/>
      <c r="BQ8" s="222"/>
      <c r="BR8" s="222"/>
      <c r="BS8" s="222"/>
      <c r="BT8" s="222"/>
      <c r="BU8" s="222"/>
      <c r="BV8" s="222"/>
      <c r="BW8" s="222"/>
      <c r="BX8" s="222"/>
      <c r="BY8" s="222"/>
      <c r="BZ8" s="222"/>
      <c r="CA8" s="222"/>
      <c r="CB8" s="222"/>
      <c r="CC8" s="222"/>
      <c r="CD8" s="222"/>
      <c r="CE8" s="222"/>
      <c r="CF8" s="222"/>
      <c r="CG8" s="222"/>
      <c r="CH8" s="222"/>
      <c r="CI8" s="222"/>
      <c r="CJ8" s="222"/>
      <c r="CK8" s="222"/>
      <c r="CL8" s="222"/>
      <c r="CM8" s="222"/>
      <c r="CN8" s="222"/>
      <c r="CO8" s="222"/>
      <c r="CP8" s="222"/>
      <c r="CQ8" s="226"/>
      <c r="CU8" s="87"/>
      <c r="CV8" s="224" t="s">
        <v>398</v>
      </c>
      <c r="CW8" s="222" t="s">
        <v>400</v>
      </c>
      <c r="CX8" s="222"/>
      <c r="CY8" s="222"/>
      <c r="CZ8" s="222"/>
      <c r="DA8" s="222"/>
      <c r="DB8" s="222"/>
      <c r="DC8" s="222"/>
      <c r="DD8" s="222"/>
      <c r="DE8" s="222"/>
      <c r="DF8" s="222"/>
      <c r="DG8" s="222"/>
      <c r="DH8" s="222"/>
      <c r="EN8" s="46"/>
    </row>
    <row r="9" spans="1:144" s="24" customFormat="1" ht="18" customHeight="1" x14ac:dyDescent="0.35">
      <c r="A9" s="539" t="s">
        <v>401</v>
      </c>
      <c r="B9" s="540"/>
      <c r="C9" s="540"/>
      <c r="D9" s="540"/>
      <c r="E9" s="540"/>
      <c r="F9" s="540"/>
      <c r="G9" s="540"/>
      <c r="H9" s="540"/>
      <c r="I9" s="540"/>
      <c r="J9" s="540"/>
      <c r="K9" s="540"/>
      <c r="L9" s="540"/>
      <c r="M9" s="541"/>
      <c r="N9" s="38" t="s">
        <v>392</v>
      </c>
      <c r="O9" s="548" t="s">
        <v>81</v>
      </c>
      <c r="P9" s="548"/>
      <c r="Q9" s="548"/>
      <c r="R9" s="548"/>
      <c r="S9" s="548"/>
      <c r="T9" s="548"/>
      <c r="U9" s="548"/>
      <c r="V9" s="548"/>
      <c r="W9" s="549"/>
      <c r="X9" s="45"/>
      <c r="Y9" s="39" t="str">
        <f>IF(Z9="","", "4.")</f>
        <v/>
      </c>
      <c r="Z9" s="548"/>
      <c r="AA9" s="548"/>
      <c r="AB9" s="548"/>
      <c r="AC9" s="548"/>
      <c r="AD9" s="548"/>
      <c r="AE9" s="548"/>
      <c r="AF9" s="548"/>
      <c r="AG9" s="548"/>
      <c r="AH9" s="548"/>
      <c r="AI9" s="549"/>
      <c r="AJ9" s="550" t="s">
        <v>402</v>
      </c>
      <c r="AK9" s="551"/>
      <c r="AL9" s="551"/>
      <c r="AM9" s="229"/>
      <c r="AN9" s="229"/>
      <c r="AO9" s="229"/>
      <c r="AP9" s="229"/>
      <c r="AQ9" s="229"/>
      <c r="AR9" s="229"/>
      <c r="AS9" s="229"/>
      <c r="AT9" s="230"/>
      <c r="AX9" s="102"/>
      <c r="AY9" s="224" t="s">
        <v>403</v>
      </c>
      <c r="AZ9" s="222" t="s">
        <v>404</v>
      </c>
      <c r="BA9" s="222"/>
      <c r="BB9" s="222"/>
      <c r="BC9" s="222"/>
      <c r="BD9" s="222"/>
      <c r="BE9" s="222"/>
      <c r="BF9" s="222"/>
      <c r="BG9" s="222"/>
      <c r="BH9" s="222"/>
      <c r="BI9" s="222"/>
      <c r="BJ9" s="222"/>
      <c r="BK9" s="222"/>
      <c r="BL9" s="222"/>
      <c r="BM9" s="222"/>
      <c r="BN9" s="222"/>
      <c r="BO9" s="222"/>
      <c r="BP9" s="222"/>
      <c r="BQ9" s="222"/>
      <c r="BR9" s="222"/>
      <c r="BS9" s="222"/>
      <c r="BT9" s="222"/>
      <c r="BU9" s="222"/>
      <c r="BV9" s="222"/>
      <c r="BW9" s="222"/>
      <c r="BX9" s="222"/>
      <c r="BY9" s="222"/>
      <c r="BZ9" s="222"/>
      <c r="CA9" s="222"/>
      <c r="CB9" s="222"/>
      <c r="CC9" s="222"/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/>
      <c r="CP9" s="222"/>
      <c r="CQ9" s="226"/>
      <c r="CU9" s="87"/>
      <c r="CV9" s="224" t="s">
        <v>403</v>
      </c>
      <c r="CW9" s="222" t="s">
        <v>405</v>
      </c>
      <c r="CX9" s="222"/>
      <c r="CY9" s="222"/>
      <c r="CZ9" s="222"/>
      <c r="DA9" s="222"/>
      <c r="DB9" s="222"/>
      <c r="DC9" s="222"/>
      <c r="DD9" s="222"/>
      <c r="DE9" s="222"/>
      <c r="DF9" s="222"/>
      <c r="DG9" s="222"/>
      <c r="DH9" s="222"/>
      <c r="EN9" s="46"/>
    </row>
    <row r="10" spans="1:144" s="24" customFormat="1" ht="18" customHeight="1" x14ac:dyDescent="0.35">
      <c r="A10" s="542"/>
      <c r="B10" s="543"/>
      <c r="C10" s="543"/>
      <c r="D10" s="543"/>
      <c r="E10" s="543"/>
      <c r="F10" s="543"/>
      <c r="G10" s="543"/>
      <c r="H10" s="543"/>
      <c r="I10" s="543"/>
      <c r="J10" s="543"/>
      <c r="K10" s="543"/>
      <c r="L10" s="543"/>
      <c r="M10" s="544"/>
      <c r="N10" s="51" t="str">
        <f>IF(O10="","", "2.")</f>
        <v>2.</v>
      </c>
      <c r="O10" s="552" t="s">
        <v>114</v>
      </c>
      <c r="P10" s="552"/>
      <c r="Q10" s="552"/>
      <c r="R10" s="552"/>
      <c r="S10" s="552"/>
      <c r="T10" s="552"/>
      <c r="U10" s="552"/>
      <c r="V10" s="552"/>
      <c r="W10" s="553"/>
      <c r="Y10" s="27" t="str">
        <f>IF(Z10="","", "5.")</f>
        <v/>
      </c>
      <c r="Z10" s="552"/>
      <c r="AA10" s="552"/>
      <c r="AB10" s="552"/>
      <c r="AC10" s="552"/>
      <c r="AD10" s="552"/>
      <c r="AE10" s="552"/>
      <c r="AF10" s="552"/>
      <c r="AG10" s="552"/>
      <c r="AH10" s="552"/>
      <c r="AI10" s="553"/>
      <c r="AJ10" s="554" t="s">
        <v>406</v>
      </c>
      <c r="AK10" s="555"/>
      <c r="AL10" s="555"/>
      <c r="AM10" s="555"/>
      <c r="AN10" s="555"/>
      <c r="AO10" s="555"/>
      <c r="AP10" s="555"/>
      <c r="AQ10" s="555"/>
      <c r="AR10" s="555"/>
      <c r="AS10" s="555"/>
      <c r="AT10" s="556"/>
      <c r="AX10" s="102"/>
      <c r="AY10" s="224" t="s">
        <v>407</v>
      </c>
      <c r="AZ10" s="222" t="s">
        <v>408</v>
      </c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  <c r="CI10" s="222"/>
      <c r="CJ10" s="222"/>
      <c r="CK10" s="222"/>
      <c r="CL10" s="222"/>
      <c r="CM10" s="222"/>
      <c r="CN10" s="222"/>
      <c r="CO10" s="222"/>
      <c r="CP10" s="222"/>
      <c r="CQ10" s="226"/>
      <c r="CU10" s="102"/>
      <c r="CV10" s="224" t="s">
        <v>407</v>
      </c>
      <c r="CW10" s="222" t="s">
        <v>409</v>
      </c>
      <c r="CX10" s="222"/>
      <c r="CY10" s="222"/>
      <c r="CZ10" s="222"/>
      <c r="DA10" s="222"/>
      <c r="DB10" s="222"/>
      <c r="DC10" s="222"/>
      <c r="DD10" s="222"/>
      <c r="DE10" s="222"/>
      <c r="DF10" s="222"/>
      <c r="DG10" s="222"/>
      <c r="DH10" s="222"/>
      <c r="EN10" s="46"/>
    </row>
    <row r="11" spans="1:144" s="24" customFormat="1" ht="18" customHeight="1" x14ac:dyDescent="0.35">
      <c r="A11" s="545"/>
      <c r="B11" s="546"/>
      <c r="C11" s="546"/>
      <c r="D11" s="546"/>
      <c r="E11" s="546"/>
      <c r="F11" s="546"/>
      <c r="G11" s="546"/>
      <c r="H11" s="546"/>
      <c r="I11" s="546"/>
      <c r="J11" s="546"/>
      <c r="K11" s="546"/>
      <c r="L11" s="546"/>
      <c r="M11" s="547"/>
      <c r="N11" s="51" t="str">
        <f>IF(O11="","", "3.")</f>
        <v>3.</v>
      </c>
      <c r="O11" s="557" t="s">
        <v>149</v>
      </c>
      <c r="P11" s="557"/>
      <c r="Q11" s="557"/>
      <c r="R11" s="557"/>
      <c r="S11" s="557"/>
      <c r="T11" s="557"/>
      <c r="U11" s="557"/>
      <c r="V11" s="557"/>
      <c r="W11" s="558"/>
      <c r="X11" s="36"/>
      <c r="Y11" s="52" t="str">
        <f>IF(Z11="","", "6.")</f>
        <v/>
      </c>
      <c r="Z11" s="557"/>
      <c r="AA11" s="557"/>
      <c r="AB11" s="557"/>
      <c r="AC11" s="557"/>
      <c r="AD11" s="557"/>
      <c r="AE11" s="557"/>
      <c r="AF11" s="557"/>
      <c r="AG11" s="557"/>
      <c r="AH11" s="557"/>
      <c r="AI11" s="558"/>
      <c r="AJ11" s="559"/>
      <c r="AK11" s="560"/>
      <c r="AL11" s="560"/>
      <c r="AM11" s="560"/>
      <c r="AN11" s="560"/>
      <c r="AO11" s="560"/>
      <c r="AP11" s="560"/>
      <c r="AQ11" s="560"/>
      <c r="AR11" s="560"/>
      <c r="AS11" s="560"/>
      <c r="AT11" s="561"/>
      <c r="AX11" s="102"/>
      <c r="AY11" s="224" t="s">
        <v>410</v>
      </c>
      <c r="AZ11" s="222" t="s">
        <v>411</v>
      </c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2"/>
      <c r="CQ11" s="226"/>
      <c r="CU11" s="102"/>
      <c r="CW11" s="231" t="s">
        <v>412</v>
      </c>
      <c r="CX11" s="232" t="s">
        <v>413</v>
      </c>
      <c r="CY11" s="222"/>
      <c r="CZ11" s="222"/>
      <c r="DA11" s="222"/>
      <c r="DB11" s="222"/>
      <c r="DC11" s="222"/>
      <c r="DD11" s="222"/>
      <c r="DE11" s="222"/>
      <c r="DF11" s="222"/>
      <c r="DG11" s="222"/>
      <c r="DH11" s="222"/>
      <c r="EN11" s="46"/>
    </row>
    <row r="12" spans="1:144" s="24" customFormat="1" ht="18" customHeight="1" x14ac:dyDescent="0.35">
      <c r="A12" s="539" t="s">
        <v>414</v>
      </c>
      <c r="B12" s="540"/>
      <c r="C12" s="540"/>
      <c r="D12" s="540"/>
      <c r="E12" s="540"/>
      <c r="F12" s="540"/>
      <c r="G12" s="540"/>
      <c r="H12" s="540"/>
      <c r="I12" s="540"/>
      <c r="J12" s="540"/>
      <c r="K12" s="540"/>
      <c r="L12" s="540"/>
      <c r="M12" s="541"/>
      <c r="N12" s="38" t="str">
        <f>IF(O12="","", "1.")</f>
        <v>1.</v>
      </c>
      <c r="O12" s="548" t="s">
        <v>82</v>
      </c>
      <c r="P12" s="548"/>
      <c r="Q12" s="548"/>
      <c r="R12" s="548"/>
      <c r="S12" s="548"/>
      <c r="T12" s="548"/>
      <c r="U12" s="548"/>
      <c r="V12" s="233" t="str">
        <f>IF(O12="","", ":")</f>
        <v>:</v>
      </c>
      <c r="W12" s="548" t="s">
        <v>111</v>
      </c>
      <c r="X12" s="548"/>
      <c r="Y12" s="548"/>
      <c r="Z12" s="548"/>
      <c r="AA12" s="548"/>
      <c r="AB12" s="100" t="str">
        <f>IF(AC12="","", ";")</f>
        <v/>
      </c>
      <c r="AC12" s="548"/>
      <c r="AD12" s="548"/>
      <c r="AE12" s="548"/>
      <c r="AF12" s="548"/>
      <c r="AG12" s="548"/>
      <c r="AH12" s="100"/>
      <c r="AI12" s="45"/>
      <c r="AJ12" s="550" t="s">
        <v>402</v>
      </c>
      <c r="AK12" s="551"/>
      <c r="AL12" s="551"/>
      <c r="AM12" s="229"/>
      <c r="AN12" s="229"/>
      <c r="AO12" s="234"/>
      <c r="AP12" s="563"/>
      <c r="AQ12" s="563"/>
      <c r="AR12" s="563"/>
      <c r="AS12" s="563"/>
      <c r="AT12" s="564"/>
      <c r="AX12" s="102"/>
      <c r="AY12" s="222"/>
      <c r="AZ12" s="222" t="s">
        <v>415</v>
      </c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2"/>
      <c r="CQ12" s="226"/>
      <c r="CU12" s="102"/>
      <c r="CW12" s="231" t="s">
        <v>412</v>
      </c>
      <c r="CX12" s="232" t="s">
        <v>416</v>
      </c>
      <c r="CY12" s="222"/>
      <c r="CZ12" s="222"/>
      <c r="EN12" s="46"/>
    </row>
    <row r="13" spans="1:144" s="24" customFormat="1" ht="18" customHeight="1" x14ac:dyDescent="0.35">
      <c r="A13" s="542"/>
      <c r="B13" s="543"/>
      <c r="C13" s="543"/>
      <c r="D13" s="543"/>
      <c r="E13" s="543"/>
      <c r="F13" s="543"/>
      <c r="G13" s="543"/>
      <c r="H13" s="543"/>
      <c r="I13" s="543"/>
      <c r="J13" s="543"/>
      <c r="K13" s="543"/>
      <c r="L13" s="543"/>
      <c r="M13" s="544"/>
      <c r="N13" s="51" t="str">
        <f>IF(O13="","", "2.")</f>
        <v>2.</v>
      </c>
      <c r="O13" s="562" t="s">
        <v>159</v>
      </c>
      <c r="P13" s="562"/>
      <c r="Q13" s="562"/>
      <c r="R13" s="562"/>
      <c r="S13" s="562"/>
      <c r="T13" s="562"/>
      <c r="U13" s="562"/>
      <c r="V13" s="235" t="str">
        <f>IF(O13="","", ":")</f>
        <v>:</v>
      </c>
      <c r="W13" s="552" t="s">
        <v>111</v>
      </c>
      <c r="X13" s="552"/>
      <c r="Y13" s="552"/>
      <c r="Z13" s="552"/>
      <c r="AA13" s="552"/>
      <c r="AB13" s="26" t="str">
        <f>IF(AC13="","", ";")</f>
        <v/>
      </c>
      <c r="AC13" s="552"/>
      <c r="AD13" s="552"/>
      <c r="AE13" s="552"/>
      <c r="AF13" s="552"/>
      <c r="AG13" s="552"/>
      <c r="AH13" s="26"/>
      <c r="AJ13" s="554" t="s">
        <v>417</v>
      </c>
      <c r="AK13" s="555"/>
      <c r="AL13" s="555"/>
      <c r="AM13" s="555"/>
      <c r="AN13" s="555"/>
      <c r="AO13" s="555"/>
      <c r="AP13" s="555"/>
      <c r="AQ13" s="555"/>
      <c r="AR13" s="555"/>
      <c r="AS13" s="555"/>
      <c r="AT13" s="556"/>
      <c r="AX13" s="102"/>
      <c r="AY13" s="224" t="s">
        <v>418</v>
      </c>
      <c r="AZ13" s="222" t="s">
        <v>419</v>
      </c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6"/>
      <c r="CU13" s="102"/>
      <c r="CW13" s="231" t="s">
        <v>412</v>
      </c>
      <c r="CX13" s="232" t="s">
        <v>420</v>
      </c>
      <c r="CY13" s="222"/>
      <c r="CZ13" s="222"/>
      <c r="EN13" s="46"/>
    </row>
    <row r="14" spans="1:144" s="24" customFormat="1" ht="18" customHeight="1" x14ac:dyDescent="0.35">
      <c r="A14" s="542"/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4"/>
      <c r="N14" s="51" t="str">
        <f>IF(O14="","", "3.")</f>
        <v>3.</v>
      </c>
      <c r="O14" s="562" t="s">
        <v>189</v>
      </c>
      <c r="P14" s="562"/>
      <c r="Q14" s="562"/>
      <c r="R14" s="562"/>
      <c r="S14" s="562"/>
      <c r="T14" s="562"/>
      <c r="U14" s="562"/>
      <c r="V14" s="235" t="str">
        <f t="shared" ref="V14:V16" si="0">IF(O14="","", ":")</f>
        <v>:</v>
      </c>
      <c r="W14" s="562" t="s">
        <v>111</v>
      </c>
      <c r="X14" s="562"/>
      <c r="Y14" s="562"/>
      <c r="Z14" s="562"/>
      <c r="AA14" s="562"/>
      <c r="AB14" s="26" t="str">
        <f>IF(AC14="","", ";")</f>
        <v/>
      </c>
      <c r="AC14" s="552"/>
      <c r="AD14" s="552"/>
      <c r="AE14" s="552"/>
      <c r="AF14" s="552"/>
      <c r="AG14" s="552"/>
      <c r="AH14" s="26"/>
      <c r="AJ14" s="554" t="s">
        <v>421</v>
      </c>
      <c r="AK14" s="555"/>
      <c r="AL14" s="555"/>
      <c r="AM14" s="555"/>
      <c r="AN14" s="555"/>
      <c r="AO14" s="555"/>
      <c r="AP14" s="555"/>
      <c r="AQ14" s="555"/>
      <c r="AR14" s="555"/>
      <c r="AS14" s="555"/>
      <c r="AT14" s="556"/>
      <c r="AX14" s="102"/>
      <c r="AY14" s="222"/>
      <c r="AZ14" s="222" t="s">
        <v>422</v>
      </c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6"/>
      <c r="CU14" s="102"/>
      <c r="CW14" s="222" t="s">
        <v>423</v>
      </c>
      <c r="EN14" s="46"/>
    </row>
    <row r="15" spans="1:144" s="24" customFormat="1" ht="18" customHeight="1" x14ac:dyDescent="0.35">
      <c r="A15" s="542"/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4"/>
      <c r="N15" s="51" t="str">
        <f>IF(O15="","", "4.")</f>
        <v/>
      </c>
      <c r="O15" s="562"/>
      <c r="P15" s="562"/>
      <c r="Q15" s="562"/>
      <c r="R15" s="562"/>
      <c r="S15" s="562"/>
      <c r="T15" s="562"/>
      <c r="U15" s="562"/>
      <c r="V15" s="235" t="str">
        <f t="shared" si="0"/>
        <v/>
      </c>
      <c r="W15" s="562"/>
      <c r="X15" s="562"/>
      <c r="Y15" s="562"/>
      <c r="Z15" s="562"/>
      <c r="AA15" s="562"/>
      <c r="AB15" s="26" t="str">
        <f t="shared" ref="AB15:AB16" si="1">IF(W15="","", ";")</f>
        <v/>
      </c>
      <c r="AC15" s="552"/>
      <c r="AD15" s="552"/>
      <c r="AE15" s="552"/>
      <c r="AF15" s="552"/>
      <c r="AG15" s="552"/>
      <c r="AH15" s="26"/>
      <c r="AJ15" s="554"/>
      <c r="AK15" s="555"/>
      <c r="AL15" s="555"/>
      <c r="AM15" s="555"/>
      <c r="AN15" s="555"/>
      <c r="AO15" s="555"/>
      <c r="AP15" s="555"/>
      <c r="AQ15" s="555"/>
      <c r="AR15" s="555"/>
      <c r="AS15" s="555"/>
      <c r="AT15" s="556"/>
      <c r="AX15" s="102"/>
      <c r="AY15" s="224" t="s">
        <v>424</v>
      </c>
      <c r="AZ15" s="222" t="s">
        <v>425</v>
      </c>
      <c r="BA15" s="222"/>
      <c r="BB15" s="222"/>
      <c r="BC15" s="222"/>
      <c r="BD15" s="222"/>
      <c r="BE15" s="222"/>
      <c r="BF15" s="222"/>
      <c r="BG15" s="222"/>
      <c r="BH15" s="222"/>
      <c r="BI15" s="222"/>
      <c r="BJ15" s="222"/>
      <c r="BK15" s="222"/>
      <c r="BL15" s="222"/>
      <c r="BM15" s="222"/>
      <c r="BN15" s="222"/>
      <c r="BO15" s="222"/>
      <c r="BP15" s="222"/>
      <c r="BQ15" s="222"/>
      <c r="BR15" s="222"/>
      <c r="BS15" s="222"/>
      <c r="BT15" s="222"/>
      <c r="BU15" s="222"/>
      <c r="BV15" s="222"/>
      <c r="BW15" s="222"/>
      <c r="BX15" s="222"/>
      <c r="BY15" s="222"/>
      <c r="BZ15" s="222"/>
      <c r="CA15" s="222"/>
      <c r="CB15" s="222"/>
      <c r="CC15" s="222"/>
      <c r="CD15" s="222"/>
      <c r="CE15" s="222"/>
      <c r="CF15" s="222"/>
      <c r="CG15" s="222"/>
      <c r="CH15" s="222"/>
      <c r="CI15" s="222"/>
      <c r="CJ15" s="222"/>
      <c r="CK15" s="222"/>
      <c r="CL15" s="222"/>
      <c r="CM15" s="222"/>
      <c r="CN15" s="222"/>
      <c r="CO15" s="222"/>
      <c r="CP15" s="222"/>
      <c r="CQ15" s="226"/>
      <c r="CU15" s="102"/>
      <c r="CV15" s="224" t="s">
        <v>410</v>
      </c>
      <c r="CW15" s="222" t="s">
        <v>426</v>
      </c>
      <c r="CX15" s="222"/>
      <c r="EN15" s="46"/>
    </row>
    <row r="16" spans="1:144" s="24" customFormat="1" ht="18" customHeight="1" x14ac:dyDescent="0.35">
      <c r="A16" s="545"/>
      <c r="B16" s="546"/>
      <c r="C16" s="546"/>
      <c r="D16" s="546"/>
      <c r="E16" s="546"/>
      <c r="F16" s="546"/>
      <c r="G16" s="546"/>
      <c r="H16" s="546"/>
      <c r="I16" s="546"/>
      <c r="J16" s="546"/>
      <c r="K16" s="546"/>
      <c r="L16" s="546"/>
      <c r="M16" s="547"/>
      <c r="N16" s="51" t="str">
        <f>IF(O16="","", "5.")</f>
        <v/>
      </c>
      <c r="O16" s="565"/>
      <c r="P16" s="565"/>
      <c r="Q16" s="565"/>
      <c r="R16" s="565"/>
      <c r="S16" s="565"/>
      <c r="T16" s="565"/>
      <c r="U16" s="565"/>
      <c r="V16" s="235" t="str">
        <f t="shared" si="0"/>
        <v/>
      </c>
      <c r="W16" s="565"/>
      <c r="X16" s="565"/>
      <c r="Y16" s="565"/>
      <c r="Z16" s="565"/>
      <c r="AA16" s="565"/>
      <c r="AB16" s="26" t="str">
        <f t="shared" si="1"/>
        <v/>
      </c>
      <c r="AC16" s="557"/>
      <c r="AD16" s="557"/>
      <c r="AE16" s="557"/>
      <c r="AF16" s="557"/>
      <c r="AG16" s="557"/>
      <c r="AH16" s="26"/>
      <c r="AI16" s="36"/>
      <c r="AJ16" s="559"/>
      <c r="AK16" s="560"/>
      <c r="AL16" s="560"/>
      <c r="AM16" s="560"/>
      <c r="AN16" s="560"/>
      <c r="AO16" s="560"/>
      <c r="AP16" s="560"/>
      <c r="AQ16" s="560"/>
      <c r="AR16" s="560"/>
      <c r="AS16" s="560"/>
      <c r="AT16" s="561"/>
      <c r="AX16" s="102"/>
      <c r="AY16" s="222"/>
      <c r="AZ16" s="566" t="s">
        <v>427</v>
      </c>
      <c r="BA16" s="566"/>
      <c r="BB16" s="566"/>
      <c r="BC16" s="566"/>
      <c r="BD16" s="566"/>
      <c r="BE16" s="566"/>
      <c r="BF16" s="566"/>
      <c r="BG16" s="566"/>
      <c r="BH16" s="566"/>
      <c r="BI16" s="566"/>
      <c r="BJ16" s="566"/>
      <c r="BK16" s="566"/>
      <c r="BL16" s="566"/>
      <c r="BM16" s="566"/>
      <c r="BN16" s="566"/>
      <c r="BO16" s="566"/>
      <c r="BP16" s="566"/>
      <c r="BQ16" s="566"/>
      <c r="BR16" s="566"/>
      <c r="BS16" s="566"/>
      <c r="BT16" s="566"/>
      <c r="BU16" s="566"/>
      <c r="BV16" s="566"/>
      <c r="BW16" s="566"/>
      <c r="BX16" s="566"/>
      <c r="BY16" s="566"/>
      <c r="BZ16" s="566"/>
      <c r="CA16" s="566"/>
      <c r="CB16" s="566"/>
      <c r="CC16" s="566"/>
      <c r="CD16" s="566"/>
      <c r="CE16" s="566"/>
      <c r="CF16" s="566"/>
      <c r="CG16" s="566"/>
      <c r="CH16" s="566"/>
      <c r="CI16" s="566"/>
      <c r="CJ16" s="566"/>
      <c r="CK16" s="566"/>
      <c r="CL16" s="566"/>
      <c r="CM16" s="566"/>
      <c r="CN16" s="566"/>
      <c r="CO16" s="566"/>
      <c r="CP16" s="566"/>
      <c r="CQ16" s="567"/>
      <c r="CU16" s="102"/>
      <c r="CV16" s="222"/>
      <c r="CW16" s="222" t="s">
        <v>428</v>
      </c>
      <c r="CX16" s="222"/>
      <c r="EN16" s="46"/>
    </row>
    <row r="17" spans="1:144" s="24" customFormat="1" ht="18" customHeight="1" x14ac:dyDescent="0.35">
      <c r="A17" s="539" t="s">
        <v>429</v>
      </c>
      <c r="B17" s="540"/>
      <c r="C17" s="540"/>
      <c r="D17" s="540"/>
      <c r="E17" s="540"/>
      <c r="F17" s="540"/>
      <c r="G17" s="540"/>
      <c r="H17" s="540"/>
      <c r="I17" s="540"/>
      <c r="J17" s="540"/>
      <c r="K17" s="540"/>
      <c r="L17" s="540"/>
      <c r="M17" s="541"/>
      <c r="N17" s="236" t="s">
        <v>430</v>
      </c>
      <c r="O17" s="237"/>
      <c r="P17" s="238"/>
      <c r="Q17" s="238"/>
      <c r="R17" s="568" t="s">
        <v>75</v>
      </c>
      <c r="S17" s="568"/>
      <c r="T17" s="568"/>
      <c r="U17" s="568"/>
      <c r="V17" s="568"/>
      <c r="W17" s="568"/>
      <c r="X17" s="568"/>
      <c r="Y17" s="568"/>
      <c r="Z17" s="568"/>
      <c r="AA17" s="568"/>
      <c r="AB17" s="568"/>
      <c r="AC17" s="568"/>
      <c r="AD17" s="568"/>
      <c r="AE17" s="239"/>
      <c r="AF17" s="238" t="s">
        <v>431</v>
      </c>
      <c r="AG17" s="238"/>
      <c r="AH17" s="238"/>
      <c r="AI17" s="238"/>
      <c r="AJ17" s="568" t="s">
        <v>52</v>
      </c>
      <c r="AK17" s="568"/>
      <c r="AL17" s="568"/>
      <c r="AM17" s="568"/>
      <c r="AN17" s="568"/>
      <c r="AO17" s="568"/>
      <c r="AP17" s="568"/>
      <c r="AQ17" s="568"/>
      <c r="AR17" s="568"/>
      <c r="AS17" s="568"/>
      <c r="AT17" s="240"/>
      <c r="AX17" s="102"/>
      <c r="AY17" s="222"/>
      <c r="AZ17" s="566"/>
      <c r="BA17" s="566"/>
      <c r="BB17" s="566"/>
      <c r="BC17" s="566"/>
      <c r="BD17" s="566"/>
      <c r="BE17" s="566"/>
      <c r="BF17" s="566"/>
      <c r="BG17" s="566"/>
      <c r="BH17" s="566"/>
      <c r="BI17" s="566"/>
      <c r="BJ17" s="566"/>
      <c r="BK17" s="566"/>
      <c r="BL17" s="566"/>
      <c r="BM17" s="566"/>
      <c r="BN17" s="566"/>
      <c r="BO17" s="566"/>
      <c r="BP17" s="566"/>
      <c r="BQ17" s="566"/>
      <c r="BR17" s="566"/>
      <c r="BS17" s="566"/>
      <c r="BT17" s="566"/>
      <c r="BU17" s="566"/>
      <c r="BV17" s="566"/>
      <c r="BW17" s="566"/>
      <c r="BX17" s="566"/>
      <c r="BY17" s="566"/>
      <c r="BZ17" s="566"/>
      <c r="CA17" s="566"/>
      <c r="CB17" s="566"/>
      <c r="CC17" s="566"/>
      <c r="CD17" s="566"/>
      <c r="CE17" s="566"/>
      <c r="CF17" s="566"/>
      <c r="CG17" s="566"/>
      <c r="CH17" s="566"/>
      <c r="CI17" s="566"/>
      <c r="CJ17" s="566"/>
      <c r="CK17" s="566"/>
      <c r="CL17" s="566"/>
      <c r="CM17" s="566"/>
      <c r="CN17" s="566"/>
      <c r="CO17" s="566"/>
      <c r="CP17" s="566"/>
      <c r="CQ17" s="567"/>
      <c r="CU17" s="102"/>
      <c r="CV17" s="222"/>
      <c r="CW17" s="222" t="s">
        <v>432</v>
      </c>
      <c r="CX17" s="222"/>
      <c r="EN17" s="46"/>
    </row>
    <row r="18" spans="1:144" s="24" customFormat="1" ht="18" customHeight="1" x14ac:dyDescent="0.35">
      <c r="A18" s="542"/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4"/>
      <c r="N18" s="569" t="s">
        <v>433</v>
      </c>
      <c r="O18" s="555"/>
      <c r="P18" s="555"/>
      <c r="Q18" s="555"/>
      <c r="R18" s="555"/>
      <c r="S18" s="555"/>
      <c r="T18" s="555"/>
      <c r="U18" s="555"/>
      <c r="V18" s="555"/>
      <c r="W18" s="555"/>
      <c r="X18" s="555"/>
      <c r="Y18" s="555"/>
      <c r="Z18" s="555"/>
      <c r="AA18" s="555"/>
      <c r="AB18" s="555"/>
      <c r="AC18" s="555"/>
      <c r="AD18" s="555"/>
      <c r="AE18" s="570"/>
      <c r="AF18" s="573" t="s">
        <v>434</v>
      </c>
      <c r="AG18" s="555"/>
      <c r="AH18" s="555"/>
      <c r="AI18" s="555"/>
      <c r="AJ18" s="555"/>
      <c r="AK18" s="555"/>
      <c r="AL18" s="555"/>
      <c r="AM18" s="555"/>
      <c r="AN18" s="555"/>
      <c r="AO18" s="555"/>
      <c r="AP18" s="555"/>
      <c r="AQ18" s="555"/>
      <c r="AR18" s="555"/>
      <c r="AS18" s="555"/>
      <c r="AT18" s="556"/>
      <c r="AX18" s="102"/>
      <c r="AY18" s="222"/>
      <c r="AZ18" s="566" t="s">
        <v>435</v>
      </c>
      <c r="BA18" s="566"/>
      <c r="BB18" s="566"/>
      <c r="BC18" s="566"/>
      <c r="BD18" s="566"/>
      <c r="BE18" s="566"/>
      <c r="BF18" s="566"/>
      <c r="BG18" s="566"/>
      <c r="BH18" s="566"/>
      <c r="BI18" s="566"/>
      <c r="BJ18" s="566"/>
      <c r="BK18" s="566"/>
      <c r="BL18" s="566"/>
      <c r="BM18" s="566"/>
      <c r="BN18" s="566"/>
      <c r="BO18" s="566"/>
      <c r="BP18" s="566"/>
      <c r="BQ18" s="566"/>
      <c r="BR18" s="566"/>
      <c r="BS18" s="566"/>
      <c r="BT18" s="566"/>
      <c r="BU18" s="566"/>
      <c r="BV18" s="566"/>
      <c r="BW18" s="566"/>
      <c r="BX18" s="566"/>
      <c r="BY18" s="566"/>
      <c r="BZ18" s="566"/>
      <c r="CA18" s="566"/>
      <c r="CB18" s="566"/>
      <c r="CC18" s="566"/>
      <c r="CD18" s="566"/>
      <c r="CE18" s="566"/>
      <c r="CF18" s="566"/>
      <c r="CG18" s="566"/>
      <c r="CH18" s="566"/>
      <c r="CI18" s="566"/>
      <c r="CJ18" s="566"/>
      <c r="CK18" s="566"/>
      <c r="CL18" s="566"/>
      <c r="CM18" s="566"/>
      <c r="CN18" s="566"/>
      <c r="CO18" s="566"/>
      <c r="CP18" s="566"/>
      <c r="CQ18" s="567"/>
      <c r="CU18" s="102"/>
      <c r="CV18" s="222"/>
      <c r="CW18" s="241" t="s">
        <v>436</v>
      </c>
      <c r="CX18" s="222"/>
      <c r="EN18" s="46"/>
    </row>
    <row r="19" spans="1:144" s="24" customFormat="1" ht="18" customHeight="1" x14ac:dyDescent="0.35">
      <c r="A19" s="545"/>
      <c r="B19" s="546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7"/>
      <c r="N19" s="571"/>
      <c r="O19" s="560"/>
      <c r="P19" s="560"/>
      <c r="Q19" s="560"/>
      <c r="R19" s="560"/>
      <c r="S19" s="560"/>
      <c r="T19" s="560"/>
      <c r="U19" s="560"/>
      <c r="V19" s="560"/>
      <c r="W19" s="560"/>
      <c r="X19" s="560"/>
      <c r="Y19" s="560"/>
      <c r="Z19" s="560"/>
      <c r="AA19" s="560"/>
      <c r="AB19" s="560"/>
      <c r="AC19" s="560"/>
      <c r="AD19" s="560"/>
      <c r="AE19" s="572"/>
      <c r="AF19" s="574"/>
      <c r="AG19" s="560"/>
      <c r="AH19" s="560"/>
      <c r="AI19" s="560"/>
      <c r="AJ19" s="560"/>
      <c r="AK19" s="560"/>
      <c r="AL19" s="560"/>
      <c r="AM19" s="560"/>
      <c r="AN19" s="560"/>
      <c r="AO19" s="560"/>
      <c r="AP19" s="560"/>
      <c r="AQ19" s="560"/>
      <c r="AR19" s="560"/>
      <c r="AS19" s="560"/>
      <c r="AT19" s="561"/>
      <c r="AX19" s="102"/>
      <c r="AY19" s="222"/>
      <c r="AZ19" s="566"/>
      <c r="BA19" s="566"/>
      <c r="BB19" s="566"/>
      <c r="BC19" s="566"/>
      <c r="BD19" s="566"/>
      <c r="BE19" s="566"/>
      <c r="BF19" s="566"/>
      <c r="BG19" s="566"/>
      <c r="BH19" s="566"/>
      <c r="BI19" s="566"/>
      <c r="BJ19" s="566"/>
      <c r="BK19" s="566"/>
      <c r="BL19" s="566"/>
      <c r="BM19" s="566"/>
      <c r="BN19" s="566"/>
      <c r="BO19" s="566"/>
      <c r="BP19" s="566"/>
      <c r="BQ19" s="566"/>
      <c r="BR19" s="566"/>
      <c r="BS19" s="566"/>
      <c r="BT19" s="566"/>
      <c r="BU19" s="566"/>
      <c r="BV19" s="566"/>
      <c r="BW19" s="566"/>
      <c r="BX19" s="566"/>
      <c r="BY19" s="566"/>
      <c r="BZ19" s="566"/>
      <c r="CA19" s="566"/>
      <c r="CB19" s="566"/>
      <c r="CC19" s="566"/>
      <c r="CD19" s="566"/>
      <c r="CE19" s="566"/>
      <c r="CF19" s="566"/>
      <c r="CG19" s="566"/>
      <c r="CH19" s="566"/>
      <c r="CI19" s="566"/>
      <c r="CJ19" s="566"/>
      <c r="CK19" s="566"/>
      <c r="CL19" s="566"/>
      <c r="CM19" s="566"/>
      <c r="CN19" s="566"/>
      <c r="CO19" s="566"/>
      <c r="CP19" s="566"/>
      <c r="CQ19" s="567"/>
      <c r="CU19" s="102"/>
      <c r="CV19" s="224" t="s">
        <v>418</v>
      </c>
      <c r="CW19" s="222" t="s">
        <v>437</v>
      </c>
      <c r="CX19" s="222"/>
      <c r="EN19" s="46"/>
    </row>
    <row r="20" spans="1:144" s="24" customFormat="1" ht="15" customHeight="1" x14ac:dyDescent="0.35">
      <c r="A20" s="539" t="s">
        <v>438</v>
      </c>
      <c r="B20" s="540"/>
      <c r="C20" s="540"/>
      <c r="D20" s="540"/>
      <c r="E20" s="540"/>
      <c r="F20" s="540"/>
      <c r="G20" s="540"/>
      <c r="H20" s="540"/>
      <c r="I20" s="540"/>
      <c r="J20" s="540"/>
      <c r="K20" s="540"/>
      <c r="L20" s="540"/>
      <c r="M20" s="541"/>
      <c r="N20" s="590" t="s">
        <v>439</v>
      </c>
      <c r="O20" s="591"/>
      <c r="P20" s="591"/>
      <c r="Q20" s="591"/>
      <c r="R20" s="591"/>
      <c r="S20" s="591"/>
      <c r="T20" s="591"/>
      <c r="U20" s="591"/>
      <c r="V20" s="591"/>
      <c r="W20" s="591"/>
      <c r="X20" s="591"/>
      <c r="Y20" s="591"/>
      <c r="Z20" s="591"/>
      <c r="AA20" s="591"/>
      <c r="AB20" s="591"/>
      <c r="AC20" s="591"/>
      <c r="AD20" s="591"/>
      <c r="AE20" s="591"/>
      <c r="AF20" s="591"/>
      <c r="AG20" s="591"/>
      <c r="AH20" s="591"/>
      <c r="AI20" s="591"/>
      <c r="AJ20" s="591"/>
      <c r="AK20" s="591"/>
      <c r="AL20" s="591"/>
      <c r="AM20" s="591"/>
      <c r="AN20" s="591"/>
      <c r="AO20" s="591"/>
      <c r="AP20" s="591"/>
      <c r="AQ20" s="591"/>
      <c r="AR20" s="591"/>
      <c r="AS20" s="591"/>
      <c r="AT20" s="592"/>
      <c r="AX20" s="102"/>
      <c r="AY20" s="224" t="s">
        <v>440</v>
      </c>
      <c r="AZ20" s="222" t="s">
        <v>441</v>
      </c>
      <c r="BA20" s="222"/>
      <c r="BB20" s="222"/>
      <c r="BC20" s="222"/>
      <c r="BD20" s="222"/>
      <c r="BE20" s="222"/>
      <c r="BF20" s="222"/>
      <c r="BG20" s="222"/>
      <c r="BH20" s="222"/>
      <c r="BI20" s="222"/>
      <c r="BJ20" s="222"/>
      <c r="BK20" s="222"/>
      <c r="BL20" s="222"/>
      <c r="BM20" s="222"/>
      <c r="BN20" s="222"/>
      <c r="BO20" s="222"/>
      <c r="BP20" s="222"/>
      <c r="BQ20" s="222"/>
      <c r="BR20" s="222"/>
      <c r="BS20" s="222"/>
      <c r="BT20" s="222"/>
      <c r="BU20" s="222"/>
      <c r="BV20" s="222"/>
      <c r="BW20" s="222"/>
      <c r="BX20" s="222"/>
      <c r="BY20" s="222"/>
      <c r="BZ20" s="222"/>
      <c r="CA20" s="222"/>
      <c r="CB20" s="222"/>
      <c r="CC20" s="222"/>
      <c r="CD20" s="222"/>
      <c r="CE20" s="222"/>
      <c r="CF20" s="222"/>
      <c r="CG20" s="222"/>
      <c r="CH20" s="222"/>
      <c r="CI20" s="222"/>
      <c r="CJ20" s="222"/>
      <c r="CK20" s="222"/>
      <c r="CL20" s="222"/>
      <c r="CM20" s="222"/>
      <c r="CN20" s="222"/>
      <c r="CO20" s="222"/>
      <c r="CP20" s="222"/>
      <c r="CQ20" s="226"/>
      <c r="CU20" s="102"/>
      <c r="CV20" s="222"/>
      <c r="CW20" s="222" t="s">
        <v>442</v>
      </c>
      <c r="CX20" s="222"/>
      <c r="EN20" s="46"/>
    </row>
    <row r="21" spans="1:144" s="24" customFormat="1" ht="18" customHeight="1" x14ac:dyDescent="0.35">
      <c r="A21" s="542"/>
      <c r="B21" s="543"/>
      <c r="C21" s="543"/>
      <c r="D21" s="543"/>
      <c r="E21" s="543"/>
      <c r="F21" s="543"/>
      <c r="G21" s="543"/>
      <c r="H21" s="543"/>
      <c r="I21" s="543"/>
      <c r="J21" s="543"/>
      <c r="K21" s="543"/>
      <c r="L21" s="543"/>
      <c r="M21" s="544"/>
      <c r="N21" s="593" t="s">
        <v>443</v>
      </c>
      <c r="O21" s="594"/>
      <c r="P21" s="594"/>
      <c r="Q21" s="594"/>
      <c r="R21" s="594"/>
      <c r="S21" s="594"/>
      <c r="T21" s="594"/>
      <c r="U21" s="594"/>
      <c r="V21" s="594"/>
      <c r="W21" s="594"/>
      <c r="X21" s="594"/>
      <c r="Y21" s="594"/>
      <c r="Z21" s="594"/>
      <c r="AA21" s="594"/>
      <c r="AB21" s="594"/>
      <c r="AC21" s="594"/>
      <c r="AD21" s="594"/>
      <c r="AE21" s="594"/>
      <c r="AF21" s="594"/>
      <c r="AG21" s="594"/>
      <c r="AH21" s="594"/>
      <c r="AI21" s="594"/>
      <c r="AJ21" s="594"/>
      <c r="AK21" s="594"/>
      <c r="AL21" s="594"/>
      <c r="AM21" s="594"/>
      <c r="AN21" s="594"/>
      <c r="AO21" s="594"/>
      <c r="AP21" s="594"/>
      <c r="AQ21" s="594"/>
      <c r="AR21" s="594"/>
      <c r="AS21" s="594"/>
      <c r="AT21" s="595"/>
      <c r="AX21" s="102"/>
      <c r="AY21" s="224" t="s">
        <v>444</v>
      </c>
      <c r="AZ21" s="222" t="s">
        <v>445</v>
      </c>
      <c r="BA21" s="222"/>
      <c r="BB21" s="222"/>
      <c r="BC21" s="222"/>
      <c r="BD21" s="222"/>
      <c r="BE21" s="222"/>
      <c r="BF21" s="222"/>
      <c r="BG21" s="222"/>
      <c r="BH21" s="222"/>
      <c r="BI21" s="222"/>
      <c r="BJ21" s="222"/>
      <c r="BK21" s="222"/>
      <c r="BL21" s="222"/>
      <c r="BM21" s="222"/>
      <c r="BN21" s="222"/>
      <c r="BO21" s="222"/>
      <c r="BP21" s="222"/>
      <c r="BQ21" s="222"/>
      <c r="BR21" s="222"/>
      <c r="BS21" s="222"/>
      <c r="BT21" s="222"/>
      <c r="BU21" s="222"/>
      <c r="BV21" s="222"/>
      <c r="BW21" s="222"/>
      <c r="BX21" s="222"/>
      <c r="BY21" s="222"/>
      <c r="BZ21" s="222"/>
      <c r="CA21" s="222"/>
      <c r="CB21" s="222"/>
      <c r="CC21" s="222"/>
      <c r="CD21" s="222"/>
      <c r="CE21" s="222"/>
      <c r="CF21" s="222"/>
      <c r="CG21" s="222"/>
      <c r="CH21" s="222"/>
      <c r="CI21" s="222"/>
      <c r="CJ21" s="222"/>
      <c r="CK21" s="222"/>
      <c r="CL21" s="222"/>
      <c r="CM21" s="222"/>
      <c r="CN21" s="222"/>
      <c r="CO21" s="222"/>
      <c r="CP21" s="222"/>
      <c r="CQ21" s="226"/>
      <c r="CU21" s="102"/>
      <c r="CV21" s="222"/>
      <c r="CW21" s="232" t="s">
        <v>446</v>
      </c>
      <c r="CX21" s="222"/>
      <c r="EN21" s="46"/>
    </row>
    <row r="22" spans="1:144" s="24" customFormat="1" ht="18" customHeight="1" x14ac:dyDescent="0.35">
      <c r="A22" s="542"/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4"/>
      <c r="N22" s="596"/>
      <c r="O22" s="594"/>
      <c r="P22" s="594"/>
      <c r="Q22" s="594"/>
      <c r="R22" s="594"/>
      <c r="S22" s="594"/>
      <c r="T22" s="594"/>
      <c r="U22" s="594"/>
      <c r="V22" s="594"/>
      <c r="W22" s="594"/>
      <c r="X22" s="594"/>
      <c r="Y22" s="594"/>
      <c r="Z22" s="594"/>
      <c r="AA22" s="594"/>
      <c r="AB22" s="594"/>
      <c r="AC22" s="594"/>
      <c r="AD22" s="594"/>
      <c r="AE22" s="594"/>
      <c r="AF22" s="594"/>
      <c r="AG22" s="594"/>
      <c r="AH22" s="594"/>
      <c r="AI22" s="594"/>
      <c r="AJ22" s="594"/>
      <c r="AK22" s="594"/>
      <c r="AL22" s="594"/>
      <c r="AM22" s="594"/>
      <c r="AN22" s="594"/>
      <c r="AO22" s="594"/>
      <c r="AP22" s="594"/>
      <c r="AQ22" s="594"/>
      <c r="AR22" s="594"/>
      <c r="AS22" s="594"/>
      <c r="AT22" s="595"/>
      <c r="AX22" s="102"/>
      <c r="AY22" s="224" t="s">
        <v>447</v>
      </c>
      <c r="AZ22" s="222" t="s">
        <v>448</v>
      </c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  <c r="CI22" s="222"/>
      <c r="CJ22" s="222"/>
      <c r="CK22" s="222"/>
      <c r="CL22" s="222"/>
      <c r="CM22" s="222"/>
      <c r="CN22" s="222"/>
      <c r="CO22" s="222"/>
      <c r="CP22" s="222"/>
      <c r="CQ22" s="226"/>
      <c r="CU22" s="102"/>
      <c r="CV22" s="224" t="s">
        <v>424</v>
      </c>
      <c r="CW22" s="222" t="s">
        <v>449</v>
      </c>
      <c r="CX22" s="222"/>
      <c r="EN22" s="46"/>
    </row>
    <row r="23" spans="1:144" s="24" customFormat="1" ht="18" customHeight="1" x14ac:dyDescent="0.35">
      <c r="A23" s="545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7"/>
      <c r="N23" s="597"/>
      <c r="O23" s="598"/>
      <c r="P23" s="598"/>
      <c r="Q23" s="598"/>
      <c r="R23" s="598"/>
      <c r="S23" s="598"/>
      <c r="T23" s="598"/>
      <c r="U23" s="598"/>
      <c r="V23" s="598"/>
      <c r="W23" s="598"/>
      <c r="X23" s="598"/>
      <c r="Y23" s="598"/>
      <c r="Z23" s="598"/>
      <c r="AA23" s="598"/>
      <c r="AB23" s="598"/>
      <c r="AC23" s="598"/>
      <c r="AD23" s="598"/>
      <c r="AE23" s="598"/>
      <c r="AF23" s="598"/>
      <c r="AG23" s="598"/>
      <c r="AH23" s="598"/>
      <c r="AI23" s="598"/>
      <c r="AJ23" s="598"/>
      <c r="AK23" s="598"/>
      <c r="AL23" s="598"/>
      <c r="AM23" s="598"/>
      <c r="AN23" s="598"/>
      <c r="AO23" s="598"/>
      <c r="AP23" s="598"/>
      <c r="AQ23" s="598"/>
      <c r="AR23" s="598"/>
      <c r="AS23" s="598"/>
      <c r="AT23" s="599"/>
      <c r="AX23" s="102"/>
      <c r="AY23" s="224" t="s">
        <v>450</v>
      </c>
      <c r="AZ23" s="222" t="s">
        <v>451</v>
      </c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  <c r="CI23" s="222"/>
      <c r="CJ23" s="222"/>
      <c r="CK23" s="222"/>
      <c r="CL23" s="222"/>
      <c r="CM23" s="222"/>
      <c r="CN23" s="222"/>
      <c r="CO23" s="222"/>
      <c r="CP23" s="222"/>
      <c r="CQ23" s="226"/>
      <c r="CU23" s="102"/>
      <c r="CV23" s="222"/>
      <c r="CW23" s="242" t="s">
        <v>412</v>
      </c>
      <c r="CX23" s="222" t="s">
        <v>452</v>
      </c>
      <c r="EN23" s="46"/>
    </row>
    <row r="24" spans="1:144" s="24" customFormat="1" ht="13.5" customHeight="1" x14ac:dyDescent="0.35">
      <c r="A24" s="539" t="s">
        <v>453</v>
      </c>
      <c r="B24" s="540"/>
      <c r="C24" s="540"/>
      <c r="D24" s="540"/>
      <c r="E24" s="540"/>
      <c r="F24" s="540"/>
      <c r="G24" s="540"/>
      <c r="H24" s="540"/>
      <c r="I24" s="540"/>
      <c r="J24" s="540"/>
      <c r="K24" s="540"/>
      <c r="L24" s="540"/>
      <c r="M24" s="541"/>
      <c r="N24" s="590" t="s">
        <v>454</v>
      </c>
      <c r="O24" s="591"/>
      <c r="P24" s="591"/>
      <c r="Q24" s="591"/>
      <c r="R24" s="591"/>
      <c r="S24" s="591"/>
      <c r="T24" s="591"/>
      <c r="U24" s="591"/>
      <c r="V24" s="591"/>
      <c r="W24" s="591"/>
      <c r="X24" s="591"/>
      <c r="Y24" s="591"/>
      <c r="Z24" s="591"/>
      <c r="AA24" s="591"/>
      <c r="AB24" s="591"/>
      <c r="AC24" s="591"/>
      <c r="AD24" s="591"/>
      <c r="AE24" s="591"/>
      <c r="AF24" s="591"/>
      <c r="AG24" s="591"/>
      <c r="AH24" s="591"/>
      <c r="AI24" s="591"/>
      <c r="AJ24" s="591"/>
      <c r="AK24" s="591"/>
      <c r="AL24" s="591"/>
      <c r="AM24" s="591"/>
      <c r="AN24" s="591"/>
      <c r="AO24" s="591"/>
      <c r="AP24" s="591"/>
      <c r="AQ24" s="591"/>
      <c r="AR24" s="591"/>
      <c r="AS24" s="591"/>
      <c r="AT24" s="592"/>
      <c r="AX24" s="102"/>
      <c r="AY24" s="222"/>
      <c r="AZ24" s="566" t="s">
        <v>455</v>
      </c>
      <c r="BA24" s="566"/>
      <c r="BB24" s="566"/>
      <c r="BC24" s="566"/>
      <c r="BD24" s="566"/>
      <c r="BE24" s="566"/>
      <c r="BF24" s="566"/>
      <c r="BG24" s="566"/>
      <c r="BH24" s="566"/>
      <c r="BI24" s="566"/>
      <c r="BJ24" s="566"/>
      <c r="BK24" s="566"/>
      <c r="BL24" s="566"/>
      <c r="BM24" s="566"/>
      <c r="BN24" s="566"/>
      <c r="BO24" s="566"/>
      <c r="BP24" s="566"/>
      <c r="BQ24" s="566"/>
      <c r="BR24" s="566"/>
      <c r="BS24" s="566"/>
      <c r="BT24" s="566"/>
      <c r="BU24" s="566"/>
      <c r="BV24" s="566"/>
      <c r="BW24" s="566"/>
      <c r="BX24" s="566"/>
      <c r="BY24" s="566"/>
      <c r="BZ24" s="566"/>
      <c r="CA24" s="566"/>
      <c r="CB24" s="566"/>
      <c r="CC24" s="566"/>
      <c r="CD24" s="566"/>
      <c r="CE24" s="566"/>
      <c r="CF24" s="566"/>
      <c r="CG24" s="566"/>
      <c r="CH24" s="566"/>
      <c r="CI24" s="566"/>
      <c r="CJ24" s="566"/>
      <c r="CK24" s="566"/>
      <c r="CL24" s="566"/>
      <c r="CM24" s="566"/>
      <c r="CN24" s="222"/>
      <c r="CO24" s="222"/>
      <c r="CP24" s="222"/>
      <c r="CQ24" s="226"/>
      <c r="CU24" s="102"/>
      <c r="CV24" s="222"/>
      <c r="CW24" s="242" t="s">
        <v>412</v>
      </c>
      <c r="CX24" s="222" t="s">
        <v>456</v>
      </c>
      <c r="EN24" s="46"/>
    </row>
    <row r="25" spans="1:144" s="54" customFormat="1" ht="18" customHeight="1" x14ac:dyDescent="0.3">
      <c r="A25" s="542"/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4"/>
      <c r="N25" s="582" t="s">
        <v>457</v>
      </c>
      <c r="O25" s="583"/>
      <c r="P25" s="583"/>
      <c r="Q25" s="583"/>
      <c r="R25" s="583"/>
      <c r="S25" s="583"/>
      <c r="T25" s="583"/>
      <c r="U25" s="583"/>
      <c r="V25" s="583"/>
      <c r="W25" s="583"/>
      <c r="X25" s="583"/>
      <c r="Y25" s="583"/>
      <c r="Z25" s="583"/>
      <c r="AA25" s="583"/>
      <c r="AB25" s="583"/>
      <c r="AC25" s="583"/>
      <c r="AD25" s="583"/>
      <c r="AE25" s="583"/>
      <c r="AF25" s="583"/>
      <c r="AG25" s="583"/>
      <c r="AH25" s="583"/>
      <c r="AI25" s="583"/>
      <c r="AJ25" s="583"/>
      <c r="AK25" s="583"/>
      <c r="AL25" s="583"/>
      <c r="AM25" s="583"/>
      <c r="AN25" s="583"/>
      <c r="AO25" s="583"/>
      <c r="AP25" s="583"/>
      <c r="AQ25" s="583"/>
      <c r="AR25" s="583"/>
      <c r="AS25" s="583"/>
      <c r="AT25" s="584"/>
      <c r="AX25" s="243"/>
      <c r="AY25" s="244"/>
      <c r="AZ25" s="566"/>
      <c r="BA25" s="566"/>
      <c r="BB25" s="566"/>
      <c r="BC25" s="566"/>
      <c r="BD25" s="566"/>
      <c r="BE25" s="566"/>
      <c r="BF25" s="566"/>
      <c r="BG25" s="566"/>
      <c r="BH25" s="566"/>
      <c r="BI25" s="566"/>
      <c r="BJ25" s="566"/>
      <c r="BK25" s="566"/>
      <c r="BL25" s="566"/>
      <c r="BM25" s="566"/>
      <c r="BN25" s="566"/>
      <c r="BO25" s="566"/>
      <c r="BP25" s="566"/>
      <c r="BQ25" s="566"/>
      <c r="BR25" s="566"/>
      <c r="BS25" s="566"/>
      <c r="BT25" s="566"/>
      <c r="BU25" s="566"/>
      <c r="BV25" s="566"/>
      <c r="BW25" s="566"/>
      <c r="BX25" s="566"/>
      <c r="BY25" s="566"/>
      <c r="BZ25" s="566"/>
      <c r="CA25" s="566"/>
      <c r="CB25" s="566"/>
      <c r="CC25" s="566"/>
      <c r="CD25" s="566"/>
      <c r="CE25" s="566"/>
      <c r="CF25" s="566"/>
      <c r="CG25" s="566"/>
      <c r="CH25" s="566"/>
      <c r="CI25" s="566"/>
      <c r="CJ25" s="566"/>
      <c r="CK25" s="566"/>
      <c r="CL25" s="566"/>
      <c r="CM25" s="566"/>
      <c r="CN25" s="244"/>
      <c r="CO25" s="244"/>
      <c r="CP25" s="244"/>
      <c r="CQ25" s="245"/>
      <c r="CU25" s="243"/>
      <c r="CV25" s="246" t="s">
        <v>440</v>
      </c>
      <c r="CW25" s="575" t="s">
        <v>458</v>
      </c>
      <c r="CX25" s="575"/>
      <c r="CY25" s="575"/>
      <c r="CZ25" s="575"/>
      <c r="DA25" s="575"/>
      <c r="DB25" s="575"/>
      <c r="DC25" s="575"/>
      <c r="DD25" s="575"/>
      <c r="DE25" s="575"/>
      <c r="DF25" s="575"/>
      <c r="DG25" s="575"/>
      <c r="DH25" s="575"/>
      <c r="DI25" s="575"/>
      <c r="DJ25" s="575"/>
      <c r="DK25" s="575"/>
      <c r="DL25" s="575"/>
      <c r="DM25" s="575"/>
      <c r="DN25" s="575"/>
      <c r="DO25" s="575"/>
      <c r="DP25" s="575"/>
      <c r="DQ25" s="575"/>
      <c r="DR25" s="575"/>
      <c r="EN25" s="247"/>
    </row>
    <row r="26" spans="1:144" s="55" customFormat="1" ht="18" customHeight="1" x14ac:dyDescent="0.35">
      <c r="A26" s="545"/>
      <c r="B26" s="546"/>
      <c r="C26" s="546"/>
      <c r="D26" s="546"/>
      <c r="E26" s="546"/>
      <c r="F26" s="546"/>
      <c r="G26" s="546"/>
      <c r="H26" s="546"/>
      <c r="I26" s="546"/>
      <c r="J26" s="546"/>
      <c r="K26" s="546"/>
      <c r="L26" s="546"/>
      <c r="M26" s="547"/>
      <c r="N26" s="585"/>
      <c r="O26" s="586"/>
      <c r="P26" s="586"/>
      <c r="Q26" s="586"/>
      <c r="R26" s="586"/>
      <c r="S26" s="586"/>
      <c r="T26" s="586"/>
      <c r="U26" s="586"/>
      <c r="V26" s="586"/>
      <c r="W26" s="586"/>
      <c r="X26" s="586"/>
      <c r="Y26" s="586"/>
      <c r="Z26" s="586"/>
      <c r="AA26" s="586"/>
      <c r="AB26" s="586"/>
      <c r="AC26" s="586"/>
      <c r="AD26" s="586"/>
      <c r="AE26" s="586"/>
      <c r="AF26" s="586"/>
      <c r="AG26" s="586"/>
      <c r="AH26" s="586"/>
      <c r="AI26" s="586"/>
      <c r="AJ26" s="586"/>
      <c r="AK26" s="586"/>
      <c r="AL26" s="586"/>
      <c r="AM26" s="586"/>
      <c r="AN26" s="586"/>
      <c r="AO26" s="586"/>
      <c r="AP26" s="586"/>
      <c r="AQ26" s="586"/>
      <c r="AR26" s="586"/>
      <c r="AS26" s="586"/>
      <c r="AT26" s="587"/>
      <c r="AX26" s="248"/>
      <c r="AY26" s="249" t="s">
        <v>459</v>
      </c>
      <c r="AZ26" s="250" t="s">
        <v>460</v>
      </c>
      <c r="BA26" s="250"/>
      <c r="BB26" s="250"/>
      <c r="BC26" s="250"/>
      <c r="BD26" s="250"/>
      <c r="BE26" s="250"/>
      <c r="BF26" s="250"/>
      <c r="BG26" s="250"/>
      <c r="BH26" s="250"/>
      <c r="BI26" s="250"/>
      <c r="BJ26" s="250"/>
      <c r="BK26" s="250"/>
      <c r="BL26" s="250"/>
      <c r="BM26" s="250"/>
      <c r="BN26" s="250"/>
      <c r="BO26" s="250"/>
      <c r="BP26" s="250"/>
      <c r="BQ26" s="250"/>
      <c r="BR26" s="250"/>
      <c r="BS26" s="250"/>
      <c r="BT26" s="250"/>
      <c r="BU26" s="250"/>
      <c r="BV26" s="250"/>
      <c r="BW26" s="250"/>
      <c r="BX26" s="250"/>
      <c r="BY26" s="250"/>
      <c r="BZ26" s="250"/>
      <c r="CA26" s="250"/>
      <c r="CB26" s="250"/>
      <c r="CC26" s="250"/>
      <c r="CD26" s="250"/>
      <c r="CE26" s="250"/>
      <c r="CF26" s="250"/>
      <c r="CG26" s="250"/>
      <c r="CH26" s="250"/>
      <c r="CI26" s="250"/>
      <c r="CJ26" s="250"/>
      <c r="CK26" s="250"/>
      <c r="CL26" s="250"/>
      <c r="CM26" s="250"/>
      <c r="CN26" s="250"/>
      <c r="CO26" s="250"/>
      <c r="CP26" s="250"/>
      <c r="CQ26" s="251"/>
      <c r="CU26" s="248"/>
      <c r="CW26" s="575"/>
      <c r="CX26" s="575"/>
      <c r="CY26" s="575"/>
      <c r="CZ26" s="575"/>
      <c r="DA26" s="575"/>
      <c r="DB26" s="575"/>
      <c r="DC26" s="575"/>
      <c r="DD26" s="575"/>
      <c r="DE26" s="575"/>
      <c r="DF26" s="575"/>
      <c r="DG26" s="575"/>
      <c r="DH26" s="575"/>
      <c r="DI26" s="575"/>
      <c r="DJ26" s="575"/>
      <c r="DK26" s="575"/>
      <c r="DL26" s="575"/>
      <c r="DM26" s="575"/>
      <c r="DN26" s="575"/>
      <c r="DO26" s="575"/>
      <c r="DP26" s="575"/>
      <c r="DQ26" s="575"/>
      <c r="DR26" s="575"/>
      <c r="EN26" s="56"/>
    </row>
    <row r="27" spans="1:144" s="24" customFormat="1" ht="18" customHeight="1" x14ac:dyDescent="0.35">
      <c r="A27" s="576" t="s">
        <v>461</v>
      </c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8"/>
      <c r="N27" s="582" t="s">
        <v>462</v>
      </c>
      <c r="O27" s="583"/>
      <c r="P27" s="583"/>
      <c r="Q27" s="583"/>
      <c r="R27" s="583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583"/>
      <c r="AD27" s="583"/>
      <c r="AE27" s="583"/>
      <c r="AF27" s="583"/>
      <c r="AG27" s="583"/>
      <c r="AH27" s="583"/>
      <c r="AI27" s="583"/>
      <c r="AJ27" s="583"/>
      <c r="AK27" s="583"/>
      <c r="AL27" s="583"/>
      <c r="AM27" s="583"/>
      <c r="AN27" s="583"/>
      <c r="AO27" s="583"/>
      <c r="AP27" s="583"/>
      <c r="AQ27" s="583"/>
      <c r="AR27" s="583"/>
      <c r="AS27" s="583"/>
      <c r="AT27" s="584"/>
      <c r="AX27" s="102"/>
      <c r="AY27" s="222"/>
      <c r="AZ27" s="222" t="s">
        <v>463</v>
      </c>
      <c r="BA27" s="222"/>
      <c r="BB27" s="222"/>
      <c r="BC27" s="222"/>
      <c r="BD27" s="222"/>
      <c r="BE27" s="222"/>
      <c r="BF27" s="222"/>
      <c r="BG27" s="222"/>
      <c r="BH27" s="222"/>
      <c r="BI27" s="222"/>
      <c r="BJ27" s="222"/>
      <c r="BK27" s="222"/>
      <c r="BL27" s="222"/>
      <c r="BM27" s="222"/>
      <c r="BN27" s="222"/>
      <c r="BO27" s="222"/>
      <c r="BP27" s="222"/>
      <c r="BQ27" s="222"/>
      <c r="BR27" s="222"/>
      <c r="BS27" s="222"/>
      <c r="BT27" s="222"/>
      <c r="BU27" s="222"/>
      <c r="BV27" s="222"/>
      <c r="BW27" s="222"/>
      <c r="BX27" s="222"/>
      <c r="BY27" s="222"/>
      <c r="BZ27" s="222"/>
      <c r="CA27" s="222"/>
      <c r="CB27" s="222"/>
      <c r="CC27" s="222"/>
      <c r="CD27" s="222"/>
      <c r="CE27" s="222"/>
      <c r="CF27" s="222"/>
      <c r="CG27" s="222"/>
      <c r="CH27" s="222"/>
      <c r="CI27" s="222"/>
      <c r="CJ27" s="222"/>
      <c r="CK27" s="222"/>
      <c r="CL27" s="222"/>
      <c r="CM27" s="222"/>
      <c r="CN27" s="222"/>
      <c r="CO27" s="222"/>
      <c r="CP27" s="222"/>
      <c r="CQ27" s="226"/>
      <c r="CU27" s="102"/>
      <c r="CV27" s="249" t="s">
        <v>444</v>
      </c>
      <c r="CW27" s="250" t="s">
        <v>464</v>
      </c>
      <c r="CX27" s="222"/>
      <c r="EN27" s="46"/>
    </row>
    <row r="28" spans="1:144" s="24" customFormat="1" ht="18" customHeight="1" x14ac:dyDescent="0.35">
      <c r="A28" s="579"/>
      <c r="B28" s="580"/>
      <c r="C28" s="580"/>
      <c r="D28" s="580"/>
      <c r="E28" s="580"/>
      <c r="F28" s="580"/>
      <c r="G28" s="580"/>
      <c r="H28" s="580"/>
      <c r="I28" s="580"/>
      <c r="J28" s="580"/>
      <c r="K28" s="580"/>
      <c r="L28" s="580"/>
      <c r="M28" s="581"/>
      <c r="N28" s="585"/>
      <c r="O28" s="586"/>
      <c r="P28" s="586"/>
      <c r="Q28" s="586"/>
      <c r="R28" s="586"/>
      <c r="S28" s="586"/>
      <c r="T28" s="586"/>
      <c r="U28" s="586"/>
      <c r="V28" s="586"/>
      <c r="W28" s="586"/>
      <c r="X28" s="586"/>
      <c r="Y28" s="586"/>
      <c r="Z28" s="586"/>
      <c r="AA28" s="586"/>
      <c r="AB28" s="586"/>
      <c r="AC28" s="586"/>
      <c r="AD28" s="586"/>
      <c r="AE28" s="586"/>
      <c r="AF28" s="586"/>
      <c r="AG28" s="586"/>
      <c r="AH28" s="586"/>
      <c r="AI28" s="586"/>
      <c r="AJ28" s="586"/>
      <c r="AK28" s="586"/>
      <c r="AL28" s="586"/>
      <c r="AM28" s="586"/>
      <c r="AN28" s="586"/>
      <c r="AO28" s="586"/>
      <c r="AP28" s="586"/>
      <c r="AQ28" s="586"/>
      <c r="AR28" s="586"/>
      <c r="AS28" s="586"/>
      <c r="AT28" s="587"/>
      <c r="AX28" s="102"/>
      <c r="AY28" s="224" t="s">
        <v>465</v>
      </c>
      <c r="AZ28" s="575" t="s">
        <v>466</v>
      </c>
      <c r="BA28" s="575"/>
      <c r="BB28" s="575"/>
      <c r="BC28" s="575"/>
      <c r="BD28" s="575"/>
      <c r="BE28" s="575"/>
      <c r="BF28" s="575"/>
      <c r="BG28" s="575"/>
      <c r="BH28" s="575"/>
      <c r="BI28" s="575"/>
      <c r="BJ28" s="575"/>
      <c r="BK28" s="575"/>
      <c r="BL28" s="575"/>
      <c r="BM28" s="575"/>
      <c r="BN28" s="575"/>
      <c r="BO28" s="575"/>
      <c r="BP28" s="575"/>
      <c r="BQ28" s="575"/>
      <c r="BR28" s="575"/>
      <c r="BS28" s="222"/>
      <c r="BT28" s="222"/>
      <c r="BU28" s="222"/>
      <c r="BV28" s="222"/>
      <c r="BW28" s="222"/>
      <c r="BX28" s="222"/>
      <c r="BY28" s="222"/>
      <c r="BZ28" s="222"/>
      <c r="CA28" s="222"/>
      <c r="CB28" s="222"/>
      <c r="CC28" s="222"/>
      <c r="CD28" s="222"/>
      <c r="CE28" s="222"/>
      <c r="CF28" s="222"/>
      <c r="CG28" s="222"/>
      <c r="CH28" s="222"/>
      <c r="CI28" s="222"/>
      <c r="CJ28" s="222"/>
      <c r="CK28" s="222"/>
      <c r="CL28" s="222"/>
      <c r="CM28" s="222"/>
      <c r="CN28" s="222"/>
      <c r="CO28" s="222"/>
      <c r="CP28" s="222"/>
      <c r="CQ28" s="226"/>
      <c r="CU28" s="102"/>
      <c r="CV28" s="222"/>
      <c r="CW28" s="242" t="s">
        <v>412</v>
      </c>
      <c r="CX28" s="224" t="s">
        <v>467</v>
      </c>
      <c r="EN28" s="46"/>
    </row>
    <row r="29" spans="1:144" s="24" customFormat="1" ht="18" customHeight="1" x14ac:dyDescent="0.3">
      <c r="A29" s="252" t="s">
        <v>468</v>
      </c>
      <c r="B29" s="45"/>
      <c r="C29" s="45"/>
      <c r="D29" s="45"/>
      <c r="E29" s="68"/>
      <c r="F29" s="60" t="s">
        <v>14</v>
      </c>
      <c r="G29" s="61"/>
      <c r="H29" s="61"/>
      <c r="I29" s="61"/>
      <c r="J29" s="62"/>
      <c r="K29" s="60" t="s">
        <v>13</v>
      </c>
      <c r="L29" s="61"/>
      <c r="M29" s="61"/>
      <c r="N29" s="61"/>
      <c r="O29" s="61"/>
      <c r="P29" s="61"/>
      <c r="Q29" s="61"/>
      <c r="R29" s="62"/>
      <c r="S29" s="253" t="s">
        <v>298</v>
      </c>
      <c r="T29" s="253"/>
      <c r="U29" s="253"/>
      <c r="W29" s="588" t="s">
        <v>469</v>
      </c>
      <c r="X29" s="588"/>
      <c r="Y29" s="588"/>
      <c r="Z29" s="588"/>
      <c r="AA29" s="588"/>
      <c r="AB29" s="588"/>
      <c r="AD29" s="253"/>
      <c r="AE29" s="253" t="s">
        <v>470</v>
      </c>
      <c r="AF29" s="254"/>
      <c r="AG29" s="253"/>
      <c r="AH29" s="589" t="s">
        <v>471</v>
      </c>
      <c r="AI29" s="589"/>
      <c r="AJ29" s="589"/>
      <c r="AK29" s="589"/>
      <c r="AL29" s="589"/>
      <c r="AM29" s="589"/>
      <c r="AN29" s="589"/>
      <c r="AO29" s="589"/>
      <c r="AP29" s="253"/>
      <c r="AQ29" s="253"/>
      <c r="AR29" s="253"/>
      <c r="AS29" s="253"/>
      <c r="AT29" s="255"/>
      <c r="AX29" s="102"/>
      <c r="AY29" s="222"/>
      <c r="AZ29" s="575"/>
      <c r="BA29" s="575"/>
      <c r="BB29" s="575"/>
      <c r="BC29" s="575"/>
      <c r="BD29" s="575"/>
      <c r="BE29" s="575"/>
      <c r="BF29" s="575"/>
      <c r="BG29" s="575"/>
      <c r="BH29" s="575"/>
      <c r="BI29" s="575"/>
      <c r="BJ29" s="575"/>
      <c r="BK29" s="575"/>
      <c r="BL29" s="575"/>
      <c r="BM29" s="575"/>
      <c r="BN29" s="575"/>
      <c r="BO29" s="575"/>
      <c r="BP29" s="575"/>
      <c r="BQ29" s="575"/>
      <c r="BR29" s="575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6"/>
      <c r="CU29" s="102"/>
      <c r="CW29" s="242" t="s">
        <v>412</v>
      </c>
      <c r="CX29" s="222" t="s">
        <v>456</v>
      </c>
      <c r="EN29" s="46"/>
    </row>
    <row r="30" spans="1:144" s="24" customFormat="1" ht="18" customHeight="1" x14ac:dyDescent="0.35">
      <c r="A30" s="102" t="s">
        <v>472</v>
      </c>
      <c r="E30" s="53"/>
      <c r="F30" s="633">
        <v>58501</v>
      </c>
      <c r="G30" s="634"/>
      <c r="H30" s="634"/>
      <c r="I30" s="634"/>
      <c r="J30" s="635"/>
      <c r="K30" s="60" t="s">
        <v>12</v>
      </c>
      <c r="L30" s="61"/>
      <c r="M30" s="61"/>
      <c r="N30" s="61"/>
      <c r="O30" s="61"/>
      <c r="P30" s="61"/>
      <c r="Q30" s="61"/>
      <c r="R30" s="62"/>
      <c r="S30" s="536" t="s">
        <v>473</v>
      </c>
      <c r="T30" s="537"/>
      <c r="U30" s="537"/>
      <c r="V30" s="537"/>
      <c r="W30" s="256" t="s">
        <v>267</v>
      </c>
      <c r="X30" s="257"/>
      <c r="Y30" s="258"/>
      <c r="Z30" s="256"/>
      <c r="AA30" s="256"/>
      <c r="AB30" s="256"/>
      <c r="AC30" s="256"/>
      <c r="AD30" s="257"/>
      <c r="AE30" s="642" t="s">
        <v>7</v>
      </c>
      <c r="AF30" s="643"/>
      <c r="AG30" s="643"/>
      <c r="AH30" s="643"/>
      <c r="AI30" s="643"/>
      <c r="AJ30" s="643"/>
      <c r="AK30" s="643"/>
      <c r="AL30" s="644"/>
      <c r="AM30" s="642" t="s">
        <v>6</v>
      </c>
      <c r="AN30" s="643"/>
      <c r="AO30" s="643"/>
      <c r="AP30" s="643"/>
      <c r="AQ30" s="643"/>
      <c r="AR30" s="643"/>
      <c r="AS30" s="643"/>
      <c r="AT30" s="645"/>
      <c r="AX30" s="102"/>
      <c r="AY30" s="224" t="s">
        <v>474</v>
      </c>
      <c r="AZ30" s="222" t="s">
        <v>475</v>
      </c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6"/>
      <c r="CU30" s="102"/>
      <c r="CV30" s="224" t="s">
        <v>447</v>
      </c>
      <c r="CW30" s="222" t="s">
        <v>476</v>
      </c>
      <c r="EN30" s="46"/>
    </row>
    <row r="31" spans="1:144" s="24" customFormat="1" ht="18" customHeight="1" x14ac:dyDescent="0.35">
      <c r="A31" s="248" t="s">
        <v>477</v>
      </c>
      <c r="E31" s="53"/>
      <c r="F31" s="636"/>
      <c r="G31" s="637"/>
      <c r="H31" s="637"/>
      <c r="I31" s="637"/>
      <c r="J31" s="638"/>
      <c r="K31" s="60" t="s">
        <v>11</v>
      </c>
      <c r="L31" s="61"/>
      <c r="M31" s="61"/>
      <c r="N31" s="61"/>
      <c r="O31" s="61"/>
      <c r="P31" s="61"/>
      <c r="Q31" s="61"/>
      <c r="R31" s="62"/>
      <c r="S31" s="646" t="s">
        <v>412</v>
      </c>
      <c r="T31" s="537"/>
      <c r="U31" s="537"/>
      <c r="V31" s="537"/>
      <c r="W31" s="256" t="s">
        <v>268</v>
      </c>
      <c r="X31" s="257"/>
      <c r="Y31" s="258" t="s">
        <v>9</v>
      </c>
      <c r="Z31" s="256"/>
      <c r="AA31" s="256"/>
      <c r="AB31" s="256"/>
      <c r="AC31" s="256"/>
      <c r="AD31" s="257"/>
      <c r="AE31" s="647" t="s">
        <v>53</v>
      </c>
      <c r="AF31" s="648"/>
      <c r="AG31" s="648"/>
      <c r="AH31" s="648"/>
      <c r="AI31" s="648"/>
      <c r="AJ31" s="648"/>
      <c r="AK31" s="648"/>
      <c r="AL31" s="649"/>
      <c r="AM31" s="647" t="s">
        <v>53</v>
      </c>
      <c r="AN31" s="648"/>
      <c r="AO31" s="648"/>
      <c r="AP31" s="648"/>
      <c r="AQ31" s="648"/>
      <c r="AR31" s="648"/>
      <c r="AS31" s="648"/>
      <c r="AT31" s="650"/>
      <c r="AX31" s="102"/>
      <c r="AY31" s="224" t="s">
        <v>478</v>
      </c>
      <c r="AZ31" s="575" t="s">
        <v>479</v>
      </c>
      <c r="BA31" s="575"/>
      <c r="BB31" s="575"/>
      <c r="BC31" s="575"/>
      <c r="BD31" s="575"/>
      <c r="BE31" s="575"/>
      <c r="BF31" s="575"/>
      <c r="BG31" s="575"/>
      <c r="BH31" s="575"/>
      <c r="BI31" s="575"/>
      <c r="BJ31" s="575"/>
      <c r="BK31" s="575"/>
      <c r="BL31" s="575"/>
      <c r="BM31" s="575"/>
      <c r="BN31" s="575"/>
      <c r="BO31" s="575"/>
      <c r="BP31" s="575"/>
      <c r="BQ31" s="575"/>
      <c r="BR31" s="575"/>
      <c r="BS31" s="575"/>
      <c r="BT31" s="575"/>
      <c r="BU31" s="575"/>
      <c r="CQ31" s="46"/>
      <c r="CU31" s="102"/>
      <c r="EN31" s="46"/>
    </row>
    <row r="32" spans="1:144" s="24" customFormat="1" ht="18" customHeight="1" x14ac:dyDescent="0.35">
      <c r="A32" s="103"/>
      <c r="B32" s="36"/>
      <c r="C32" s="36"/>
      <c r="D32" s="36"/>
      <c r="E32" s="37"/>
      <c r="F32" s="639"/>
      <c r="G32" s="640"/>
      <c r="H32" s="640"/>
      <c r="I32" s="640"/>
      <c r="J32" s="641"/>
      <c r="K32" s="44" t="s">
        <v>10</v>
      </c>
      <c r="L32" s="45"/>
      <c r="M32" s="45"/>
      <c r="N32" s="45"/>
      <c r="O32" s="45"/>
      <c r="P32" s="45"/>
      <c r="Q32" s="45"/>
      <c r="R32" s="68"/>
      <c r="S32" s="600">
        <v>12</v>
      </c>
      <c r="T32" s="601"/>
      <c r="U32" s="601"/>
      <c r="V32" s="601"/>
      <c r="W32" s="229" t="s">
        <v>269</v>
      </c>
      <c r="X32" s="259"/>
      <c r="Y32" s="260" t="s">
        <v>8</v>
      </c>
      <c r="Z32" s="229"/>
      <c r="AA32" s="256"/>
      <c r="AB32" s="256"/>
      <c r="AC32" s="256"/>
      <c r="AD32" s="257"/>
      <c r="AE32" s="602" t="s">
        <v>53</v>
      </c>
      <c r="AF32" s="603"/>
      <c r="AG32" s="603"/>
      <c r="AH32" s="603"/>
      <c r="AI32" s="603"/>
      <c r="AJ32" s="603"/>
      <c r="AK32" s="603"/>
      <c r="AL32" s="604"/>
      <c r="AM32" s="605" t="s">
        <v>53</v>
      </c>
      <c r="AN32" s="606"/>
      <c r="AO32" s="606"/>
      <c r="AP32" s="606"/>
      <c r="AQ32" s="606"/>
      <c r="AR32" s="606"/>
      <c r="AS32" s="606"/>
      <c r="AT32" s="607"/>
      <c r="AX32" s="102"/>
      <c r="AZ32" s="575"/>
      <c r="BA32" s="575"/>
      <c r="BB32" s="575"/>
      <c r="BC32" s="575"/>
      <c r="BD32" s="575"/>
      <c r="BE32" s="575"/>
      <c r="BF32" s="575"/>
      <c r="BG32" s="575"/>
      <c r="BH32" s="575"/>
      <c r="BI32" s="575"/>
      <c r="BJ32" s="575"/>
      <c r="BK32" s="575"/>
      <c r="BL32" s="575"/>
      <c r="BM32" s="575"/>
      <c r="BN32" s="575"/>
      <c r="BO32" s="575"/>
      <c r="BP32" s="575"/>
      <c r="BQ32" s="575"/>
      <c r="BR32" s="575"/>
      <c r="BS32" s="575"/>
      <c r="BT32" s="575"/>
      <c r="BU32" s="575"/>
      <c r="CQ32" s="46"/>
      <c r="CU32" s="102"/>
      <c r="EN32" s="46"/>
    </row>
    <row r="33" spans="1:144" s="24" customFormat="1" ht="18" customHeight="1" x14ac:dyDescent="0.35">
      <c r="A33" s="608" t="s">
        <v>480</v>
      </c>
      <c r="B33" s="609"/>
      <c r="C33" s="609"/>
      <c r="D33" s="609"/>
      <c r="E33" s="610"/>
      <c r="F33" s="261" t="s">
        <v>270</v>
      </c>
      <c r="G33" s="262"/>
      <c r="H33" s="262"/>
      <c r="I33" s="262"/>
      <c r="J33" s="263"/>
      <c r="K33" s="264"/>
      <c r="L33" s="265"/>
      <c r="M33" s="265" t="s">
        <v>481</v>
      </c>
      <c r="N33" s="265"/>
      <c r="O33" s="265"/>
      <c r="P33" s="265"/>
      <c r="Q33" s="265"/>
      <c r="R33" s="266"/>
      <c r="S33" s="267"/>
      <c r="T33" s="268"/>
      <c r="U33" s="268" t="s">
        <v>482</v>
      </c>
      <c r="V33" s="268"/>
      <c r="W33" s="268"/>
      <c r="X33" s="268"/>
      <c r="Y33" s="268"/>
      <c r="Z33" s="269"/>
      <c r="AA33" s="264"/>
      <c r="AB33" s="265"/>
      <c r="AC33" s="265" t="s">
        <v>1</v>
      </c>
      <c r="AD33" s="265"/>
      <c r="AE33" s="265"/>
      <c r="AF33" s="265"/>
      <c r="AG33" s="265"/>
      <c r="AH33" s="266"/>
      <c r="AI33" s="267"/>
      <c r="AJ33" s="268"/>
      <c r="AK33" s="268" t="s">
        <v>483</v>
      </c>
      <c r="AL33" s="268"/>
      <c r="AM33" s="268"/>
      <c r="AN33" s="268"/>
      <c r="AO33" s="268"/>
      <c r="AP33" s="269"/>
      <c r="AQ33" s="611" t="s">
        <v>484</v>
      </c>
      <c r="AR33" s="612"/>
      <c r="AS33" s="612"/>
      <c r="AT33" s="613"/>
      <c r="AX33" s="102"/>
      <c r="AY33" s="224" t="s">
        <v>485</v>
      </c>
      <c r="AZ33" s="566" t="s">
        <v>486</v>
      </c>
      <c r="BA33" s="566"/>
      <c r="BB33" s="566"/>
      <c r="BC33" s="566"/>
      <c r="BD33" s="566"/>
      <c r="BE33" s="566"/>
      <c r="BF33" s="566"/>
      <c r="BG33" s="566"/>
      <c r="BH33" s="566"/>
      <c r="BI33" s="566"/>
      <c r="BJ33" s="566"/>
      <c r="BK33" s="566"/>
      <c r="BL33" s="566"/>
      <c r="BM33" s="566"/>
      <c r="BN33" s="566"/>
      <c r="BO33" s="566"/>
      <c r="BP33" s="566"/>
      <c r="BQ33" s="566"/>
      <c r="BR33" s="566"/>
      <c r="BS33" s="566"/>
      <c r="BT33" s="566"/>
      <c r="BU33" s="566"/>
      <c r="CQ33" s="46"/>
      <c r="CU33" s="219" t="s">
        <v>487</v>
      </c>
      <c r="CV33" s="220" t="s">
        <v>488</v>
      </c>
      <c r="EN33" s="46"/>
    </row>
    <row r="34" spans="1:144" s="24" customFormat="1" ht="18" customHeight="1" x14ac:dyDescent="0.35">
      <c r="A34" s="620" t="s">
        <v>137</v>
      </c>
      <c r="B34" s="621"/>
      <c r="C34" s="621"/>
      <c r="D34" s="621"/>
      <c r="E34" s="622"/>
      <c r="F34" s="626" t="str">
        <f>IF(MAX(M35:R35,U35:Z35,AC35:AH35,AK35:AP35)&lt;=2.5,"A - Newly Commissioned Machine",
IF(MAX(M35:R35,U35:Z35,AC35:AH35,AK35:AP35)&lt;=4,"B - Unrestricted Long-term Op.",
IF(MAX(M35:R35,U35:Z35,AC35:AH35,AK35:AP35)&lt;=6.5,"C - Restricted Long-term Op.",
"D - Risk Causing Damage")))</f>
        <v>D - Risk Causing Damage</v>
      </c>
      <c r="G34" s="627"/>
      <c r="H34" s="627"/>
      <c r="I34" s="627"/>
      <c r="J34" s="628"/>
      <c r="K34" s="632" t="s">
        <v>271</v>
      </c>
      <c r="L34" s="632"/>
      <c r="M34" s="632" t="s">
        <v>272</v>
      </c>
      <c r="N34" s="632"/>
      <c r="O34" s="632" t="s">
        <v>273</v>
      </c>
      <c r="P34" s="632"/>
      <c r="Q34" s="632" t="s">
        <v>274</v>
      </c>
      <c r="R34" s="632"/>
      <c r="S34" s="653" t="s">
        <v>271</v>
      </c>
      <c r="T34" s="632"/>
      <c r="U34" s="632" t="s">
        <v>272</v>
      </c>
      <c r="V34" s="632"/>
      <c r="W34" s="632" t="s">
        <v>273</v>
      </c>
      <c r="X34" s="632"/>
      <c r="Y34" s="632" t="s">
        <v>274</v>
      </c>
      <c r="Z34" s="632"/>
      <c r="AA34" s="632" t="s">
        <v>271</v>
      </c>
      <c r="AB34" s="632"/>
      <c r="AC34" s="632" t="s">
        <v>272</v>
      </c>
      <c r="AD34" s="632"/>
      <c r="AE34" s="632" t="s">
        <v>273</v>
      </c>
      <c r="AF34" s="632"/>
      <c r="AG34" s="632" t="s">
        <v>274</v>
      </c>
      <c r="AH34" s="632"/>
      <c r="AI34" s="653" t="s">
        <v>271</v>
      </c>
      <c r="AJ34" s="632"/>
      <c r="AK34" s="632" t="s">
        <v>272</v>
      </c>
      <c r="AL34" s="632"/>
      <c r="AM34" s="632" t="s">
        <v>273</v>
      </c>
      <c r="AN34" s="632"/>
      <c r="AO34" s="632" t="s">
        <v>274</v>
      </c>
      <c r="AP34" s="632"/>
      <c r="AQ34" s="614"/>
      <c r="AR34" s="615"/>
      <c r="AS34" s="615"/>
      <c r="AT34" s="616"/>
      <c r="AX34" s="102"/>
      <c r="AZ34" s="566"/>
      <c r="BA34" s="566"/>
      <c r="BB34" s="566"/>
      <c r="BC34" s="566"/>
      <c r="BD34" s="566"/>
      <c r="BE34" s="566"/>
      <c r="BF34" s="566"/>
      <c r="BG34" s="566"/>
      <c r="BH34" s="566"/>
      <c r="BI34" s="566"/>
      <c r="BJ34" s="566"/>
      <c r="BK34" s="566"/>
      <c r="BL34" s="566"/>
      <c r="BM34" s="566"/>
      <c r="BN34" s="566"/>
      <c r="BO34" s="566"/>
      <c r="BP34" s="566"/>
      <c r="BQ34" s="566"/>
      <c r="BR34" s="566"/>
      <c r="BS34" s="566"/>
      <c r="BT34" s="566"/>
      <c r="BU34" s="566"/>
      <c r="CQ34" s="46"/>
      <c r="CU34" s="102"/>
      <c r="CV34" s="231" t="s">
        <v>412</v>
      </c>
      <c r="CW34" s="222" t="s">
        <v>489</v>
      </c>
      <c r="EN34" s="46"/>
    </row>
    <row r="35" spans="1:144" s="24" customFormat="1" ht="19.5" customHeight="1" x14ac:dyDescent="0.35">
      <c r="A35" s="623"/>
      <c r="B35" s="624"/>
      <c r="C35" s="624"/>
      <c r="D35" s="624"/>
      <c r="E35" s="625"/>
      <c r="F35" s="629"/>
      <c r="G35" s="630"/>
      <c r="H35" s="630"/>
      <c r="I35" s="630"/>
      <c r="J35" s="631"/>
      <c r="K35" s="651">
        <v>60</v>
      </c>
      <c r="L35" s="652"/>
      <c r="M35" s="651">
        <v>0.1</v>
      </c>
      <c r="N35" s="652"/>
      <c r="O35" s="651">
        <v>3</v>
      </c>
      <c r="P35" s="652"/>
      <c r="Q35" s="651">
        <v>0.2</v>
      </c>
      <c r="R35" s="652"/>
      <c r="S35" s="651">
        <v>60</v>
      </c>
      <c r="T35" s="652"/>
      <c r="U35" s="651">
        <v>0.4</v>
      </c>
      <c r="V35" s="652"/>
      <c r="W35" s="651">
        <v>0.1</v>
      </c>
      <c r="X35" s="652"/>
      <c r="Y35" s="651">
        <v>7</v>
      </c>
      <c r="Z35" s="652"/>
      <c r="AA35" s="651">
        <v>60</v>
      </c>
      <c r="AB35" s="652"/>
      <c r="AC35" s="651">
        <v>0.1</v>
      </c>
      <c r="AD35" s="652"/>
      <c r="AE35" s="651">
        <v>0.1</v>
      </c>
      <c r="AF35" s="652"/>
      <c r="AG35" s="651">
        <v>0.3</v>
      </c>
      <c r="AH35" s="652"/>
      <c r="AI35" s="651">
        <v>60</v>
      </c>
      <c r="AJ35" s="652"/>
      <c r="AK35" s="651">
        <v>0.5</v>
      </c>
      <c r="AL35" s="652"/>
      <c r="AM35" s="651">
        <v>5</v>
      </c>
      <c r="AN35" s="652"/>
      <c r="AO35" s="651">
        <v>0.2</v>
      </c>
      <c r="AP35" s="652"/>
      <c r="AQ35" s="617"/>
      <c r="AR35" s="618"/>
      <c r="AS35" s="618"/>
      <c r="AT35" s="619"/>
      <c r="AX35" s="102"/>
      <c r="AY35" s="224" t="s">
        <v>490</v>
      </c>
      <c r="AZ35" s="222" t="s">
        <v>491</v>
      </c>
      <c r="CQ35" s="46"/>
      <c r="CU35" s="102"/>
      <c r="CV35" s="231" t="s">
        <v>412</v>
      </c>
      <c r="CW35" s="222" t="s">
        <v>492</v>
      </c>
      <c r="EN35" s="46"/>
    </row>
    <row r="36" spans="1:144" s="74" customFormat="1" ht="18" customHeight="1" x14ac:dyDescent="0.35">
      <c r="A36" s="539" t="s">
        <v>493</v>
      </c>
      <c r="B36" s="540"/>
      <c r="C36" s="540"/>
      <c r="D36" s="540"/>
      <c r="E36" s="679"/>
      <c r="F36" s="682" t="s">
        <v>494</v>
      </c>
      <c r="G36" s="683"/>
      <c r="H36" s="683"/>
      <c r="I36" s="683"/>
      <c r="J36" s="683"/>
      <c r="K36" s="683"/>
      <c r="L36" s="683"/>
      <c r="M36" s="683"/>
      <c r="N36" s="683"/>
      <c r="O36" s="683"/>
      <c r="P36" s="683"/>
      <c r="Q36" s="683"/>
      <c r="R36" s="683"/>
      <c r="S36" s="683"/>
      <c r="T36" s="684"/>
      <c r="U36" s="685" t="s">
        <v>495</v>
      </c>
      <c r="V36" s="686"/>
      <c r="W36" s="686"/>
      <c r="X36" s="686"/>
      <c r="Y36" s="686"/>
      <c r="Z36" s="686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1"/>
      <c r="AX36" s="227"/>
      <c r="AY36" s="224" t="s">
        <v>496</v>
      </c>
      <c r="AZ36" s="222" t="s">
        <v>497</v>
      </c>
      <c r="CQ36" s="272"/>
      <c r="CU36" s="227"/>
      <c r="EN36" s="272"/>
    </row>
    <row r="37" spans="1:144" s="74" customFormat="1" ht="18" customHeight="1" x14ac:dyDescent="0.35">
      <c r="A37" s="542"/>
      <c r="B37" s="543"/>
      <c r="C37" s="543"/>
      <c r="D37" s="543"/>
      <c r="E37" s="680"/>
      <c r="F37" s="687" t="s">
        <v>12</v>
      </c>
      <c r="G37" s="688"/>
      <c r="H37" s="688"/>
      <c r="I37" s="688"/>
      <c r="J37" s="688"/>
      <c r="K37" s="688"/>
      <c r="L37" s="689"/>
      <c r="M37" s="663">
        <v>4</v>
      </c>
      <c r="N37" s="537"/>
      <c r="O37" s="537"/>
      <c r="P37" s="537"/>
      <c r="Q37" s="664" t="s">
        <v>267</v>
      </c>
      <c r="R37" s="664"/>
      <c r="S37" s="664"/>
      <c r="T37" s="665"/>
      <c r="U37" s="690"/>
      <c r="V37" s="691"/>
      <c r="W37" s="691"/>
      <c r="X37" s="691"/>
      <c r="Y37" s="691"/>
      <c r="Z37" s="691"/>
      <c r="AA37" s="691"/>
      <c r="AB37" s="691"/>
      <c r="AC37" s="691"/>
      <c r="AD37" s="691"/>
      <c r="AE37" s="691"/>
      <c r="AF37" s="691"/>
      <c r="AG37" s="691"/>
      <c r="AH37" s="691"/>
      <c r="AI37" s="691"/>
      <c r="AJ37" s="691"/>
      <c r="AK37" s="691"/>
      <c r="AL37" s="691"/>
      <c r="AM37" s="691"/>
      <c r="AN37" s="691"/>
      <c r="AO37" s="691"/>
      <c r="AP37" s="691"/>
      <c r="AQ37" s="691"/>
      <c r="AR37" s="691"/>
      <c r="AS37" s="691"/>
      <c r="AT37" s="692"/>
      <c r="AX37" s="227"/>
      <c r="CQ37" s="272"/>
      <c r="CU37" s="227"/>
      <c r="EN37" s="272"/>
    </row>
    <row r="38" spans="1:144" s="74" customFormat="1" ht="18" customHeight="1" x14ac:dyDescent="0.35">
      <c r="A38" s="545"/>
      <c r="B38" s="546"/>
      <c r="C38" s="546"/>
      <c r="D38" s="546"/>
      <c r="E38" s="681"/>
      <c r="F38" s="660" t="s">
        <v>10</v>
      </c>
      <c r="G38" s="661"/>
      <c r="H38" s="661"/>
      <c r="I38" s="661"/>
      <c r="J38" s="661"/>
      <c r="K38" s="661"/>
      <c r="L38" s="662"/>
      <c r="M38" s="663">
        <v>8</v>
      </c>
      <c r="N38" s="537"/>
      <c r="O38" s="537"/>
      <c r="P38" s="537"/>
      <c r="Q38" s="664" t="s">
        <v>274</v>
      </c>
      <c r="R38" s="664"/>
      <c r="S38" s="664"/>
      <c r="T38" s="665"/>
      <c r="U38" s="666"/>
      <c r="V38" s="667"/>
      <c r="W38" s="667"/>
      <c r="X38" s="667"/>
      <c r="Y38" s="667"/>
      <c r="Z38" s="667"/>
      <c r="AA38" s="667"/>
      <c r="AB38" s="667"/>
      <c r="AC38" s="667"/>
      <c r="AD38" s="667"/>
      <c r="AE38" s="667"/>
      <c r="AF38" s="667"/>
      <c r="AG38" s="667"/>
      <c r="AH38" s="667"/>
      <c r="AI38" s="667"/>
      <c r="AJ38" s="667"/>
      <c r="AK38" s="667"/>
      <c r="AL38" s="667"/>
      <c r="AM38" s="667"/>
      <c r="AN38" s="667"/>
      <c r="AO38" s="667"/>
      <c r="AP38" s="667"/>
      <c r="AQ38" s="667"/>
      <c r="AR38" s="667"/>
      <c r="AS38" s="667"/>
      <c r="AT38" s="668"/>
      <c r="AX38" s="219"/>
      <c r="AY38" s="220"/>
      <c r="BA38" s="222"/>
      <c r="BB38" s="222"/>
      <c r="BC38" s="222"/>
      <c r="BD38" s="222"/>
      <c r="BE38" s="222"/>
      <c r="BF38" s="222"/>
      <c r="BG38" s="222"/>
      <c r="BH38" s="222"/>
      <c r="BI38" s="222"/>
      <c r="BJ38" s="222"/>
      <c r="BK38" s="222"/>
      <c r="BL38" s="222"/>
      <c r="BM38" s="222"/>
      <c r="BN38" s="222"/>
      <c r="BO38" s="222"/>
      <c r="BP38" s="222"/>
      <c r="BQ38" s="222"/>
      <c r="BR38" s="222"/>
      <c r="BS38" s="222"/>
      <c r="BT38" s="222"/>
      <c r="BU38" s="222"/>
      <c r="BV38" s="222"/>
      <c r="BW38" s="222"/>
      <c r="CQ38" s="272"/>
      <c r="CU38" s="227"/>
      <c r="EN38" s="272"/>
    </row>
    <row r="39" spans="1:144" s="78" customFormat="1" ht="18" customHeight="1" x14ac:dyDescent="0.35">
      <c r="A39" s="70" t="s">
        <v>276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3"/>
      <c r="AX39" s="227"/>
      <c r="AY39" s="224"/>
      <c r="AZ39" s="222"/>
      <c r="BA39" s="222"/>
      <c r="BB39" s="222"/>
      <c r="BC39" s="222"/>
      <c r="BD39" s="222"/>
      <c r="BE39" s="222"/>
      <c r="BF39" s="222"/>
      <c r="BG39" s="222"/>
      <c r="BH39" s="222"/>
      <c r="BI39" s="222"/>
      <c r="BJ39" s="222"/>
      <c r="BK39" s="222"/>
      <c r="BL39" s="222"/>
      <c r="BM39" s="222"/>
      <c r="BN39" s="222"/>
      <c r="BO39" s="222"/>
      <c r="BP39" s="222"/>
      <c r="BQ39" s="222"/>
      <c r="BR39" s="222"/>
      <c r="BS39" s="222"/>
      <c r="BT39" s="222"/>
      <c r="BU39" s="222"/>
      <c r="BV39" s="222"/>
      <c r="BW39" s="222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Q39" s="273"/>
      <c r="CU39" s="87"/>
      <c r="EN39" s="273"/>
    </row>
    <row r="40" spans="1:144" s="78" customFormat="1" ht="18" customHeight="1" x14ac:dyDescent="0.3">
      <c r="A40" s="669" t="s">
        <v>277</v>
      </c>
      <c r="B40" s="670"/>
      <c r="C40" s="671"/>
      <c r="D40" s="675" t="s">
        <v>278</v>
      </c>
      <c r="E40" s="670"/>
      <c r="F40" s="670"/>
      <c r="G40" s="670"/>
      <c r="H40" s="670"/>
      <c r="I40" s="670"/>
      <c r="J40" s="670"/>
      <c r="K40" s="670"/>
      <c r="L40" s="670"/>
      <c r="M40" s="670"/>
      <c r="N40" s="670"/>
      <c r="O40" s="671"/>
      <c r="P40" s="675" t="s">
        <v>279</v>
      </c>
      <c r="Q40" s="670"/>
      <c r="R40" s="671"/>
      <c r="S40" s="75" t="s">
        <v>280</v>
      </c>
      <c r="T40" s="76"/>
      <c r="U40" s="76"/>
      <c r="V40" s="77"/>
      <c r="W40" s="675" t="s">
        <v>281</v>
      </c>
      <c r="X40" s="670"/>
      <c r="Y40" s="670"/>
      <c r="Z40" s="670"/>
      <c r="AA40" s="670"/>
      <c r="AB40" s="670"/>
      <c r="AC40" s="670"/>
      <c r="AD40" s="670"/>
      <c r="AE40" s="670"/>
      <c r="AF40" s="670"/>
      <c r="AG40" s="670"/>
      <c r="AH40" s="670"/>
      <c r="AI40" s="670"/>
      <c r="AJ40" s="670"/>
      <c r="AK40" s="670"/>
      <c r="AL40" s="670"/>
      <c r="AM40" s="671"/>
      <c r="AN40" s="675" t="s">
        <v>282</v>
      </c>
      <c r="AO40" s="670"/>
      <c r="AP40" s="670"/>
      <c r="AQ40" s="670"/>
      <c r="AR40" s="670"/>
      <c r="AS40" s="670"/>
      <c r="AT40" s="677"/>
      <c r="AX40" s="87"/>
      <c r="AY40" s="224"/>
      <c r="AZ40" s="222"/>
      <c r="BA40" s="222"/>
      <c r="BB40" s="222"/>
      <c r="BC40" s="222"/>
      <c r="BD40" s="222"/>
      <c r="BE40" s="222"/>
      <c r="BF40" s="222"/>
      <c r="BG40" s="222"/>
      <c r="BH40" s="222"/>
      <c r="BI40" s="222"/>
      <c r="BJ40" s="222"/>
      <c r="BK40" s="222"/>
      <c r="BL40" s="222"/>
      <c r="BM40" s="222"/>
      <c r="BN40" s="222"/>
      <c r="BO40" s="222"/>
      <c r="BP40" s="222"/>
      <c r="BQ40" s="222"/>
      <c r="BR40" s="222"/>
      <c r="BS40" s="222"/>
      <c r="BT40" s="222"/>
      <c r="BU40" s="222"/>
      <c r="BV40" s="222"/>
      <c r="BW40" s="222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Q40" s="273"/>
      <c r="CU40" s="87"/>
      <c r="EN40" s="273"/>
    </row>
    <row r="41" spans="1:144" s="24" customFormat="1" ht="18" customHeight="1" x14ac:dyDescent="0.35">
      <c r="A41" s="672"/>
      <c r="B41" s="673"/>
      <c r="C41" s="674"/>
      <c r="D41" s="676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76"/>
      <c r="Q41" s="673"/>
      <c r="R41" s="674"/>
      <c r="S41" s="79" t="s">
        <v>283</v>
      </c>
      <c r="T41" s="80"/>
      <c r="U41" s="80"/>
      <c r="V41" s="81"/>
      <c r="W41" s="676"/>
      <c r="X41" s="673"/>
      <c r="Y41" s="673"/>
      <c r="Z41" s="673"/>
      <c r="AA41" s="673"/>
      <c r="AB41" s="673"/>
      <c r="AC41" s="673"/>
      <c r="AD41" s="673"/>
      <c r="AE41" s="673"/>
      <c r="AF41" s="673"/>
      <c r="AG41" s="673"/>
      <c r="AH41" s="673"/>
      <c r="AI41" s="673"/>
      <c r="AJ41" s="673"/>
      <c r="AK41" s="673"/>
      <c r="AL41" s="673"/>
      <c r="AM41" s="674"/>
      <c r="AN41" s="676"/>
      <c r="AO41" s="673"/>
      <c r="AP41" s="673"/>
      <c r="AQ41" s="673"/>
      <c r="AR41" s="673"/>
      <c r="AS41" s="673"/>
      <c r="AT41" s="678"/>
      <c r="AX41" s="87"/>
      <c r="AY41" s="224"/>
      <c r="AZ41" s="222"/>
      <c r="BA41" s="222"/>
      <c r="BB41" s="222"/>
      <c r="BC41" s="222"/>
      <c r="BD41" s="222"/>
      <c r="BE41" s="222"/>
      <c r="BF41" s="222"/>
      <c r="BG41" s="222"/>
      <c r="BH41" s="222"/>
      <c r="BI41" s="222"/>
      <c r="BJ41" s="222"/>
      <c r="BK41" s="222"/>
      <c r="BL41" s="222"/>
      <c r="BM41" s="222"/>
      <c r="BN41" s="222"/>
      <c r="BO41" s="222"/>
      <c r="BP41" s="222"/>
      <c r="BQ41" s="222"/>
      <c r="BR41" s="222"/>
      <c r="BS41" s="222"/>
      <c r="BT41" s="222"/>
      <c r="BU41" s="222"/>
      <c r="BV41" s="222"/>
      <c r="BW41" s="222"/>
      <c r="CQ41" s="46"/>
      <c r="CU41" s="102"/>
      <c r="EN41" s="46"/>
    </row>
    <row r="42" spans="1:144" s="24" customFormat="1" ht="18" customHeight="1" x14ac:dyDescent="0.35">
      <c r="A42" s="654">
        <v>1</v>
      </c>
      <c r="B42" s="643"/>
      <c r="C42" s="644"/>
      <c r="D42" s="509" t="s">
        <v>159</v>
      </c>
      <c r="E42" s="510"/>
      <c r="F42" s="510"/>
      <c r="G42" s="510"/>
      <c r="H42" s="510"/>
      <c r="I42" s="510"/>
      <c r="J42" s="510"/>
      <c r="K42" s="510"/>
      <c r="L42" s="510"/>
      <c r="M42" s="510"/>
      <c r="N42" s="510"/>
      <c r="O42" s="655"/>
      <c r="P42" s="656">
        <v>1</v>
      </c>
      <c r="Q42" s="657"/>
      <c r="R42" s="658"/>
      <c r="S42" s="656" t="s">
        <v>498</v>
      </c>
      <c r="T42" s="657"/>
      <c r="U42" s="657"/>
      <c r="V42" s="658"/>
      <c r="W42" s="509"/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  <c r="AK42" s="510"/>
      <c r="AL42" s="510"/>
      <c r="AM42" s="655"/>
      <c r="AN42" s="509"/>
      <c r="AO42" s="510"/>
      <c r="AP42" s="510"/>
      <c r="AQ42" s="510"/>
      <c r="AR42" s="510"/>
      <c r="AS42" s="510"/>
      <c r="AT42" s="659"/>
      <c r="AX42" s="102"/>
      <c r="AY42" s="224"/>
      <c r="AZ42" s="222"/>
      <c r="BA42" s="222"/>
      <c r="BB42" s="222"/>
      <c r="BC42" s="222"/>
      <c r="BD42" s="222"/>
      <c r="BE42" s="222"/>
      <c r="BF42" s="222"/>
      <c r="BG42" s="222"/>
      <c r="BH42" s="222"/>
      <c r="BI42" s="222"/>
      <c r="BJ42" s="222"/>
      <c r="BK42" s="222"/>
      <c r="BL42" s="222"/>
      <c r="BM42" s="222"/>
      <c r="BN42" s="222"/>
      <c r="BO42" s="222"/>
      <c r="BP42" s="222"/>
      <c r="BQ42" s="222"/>
      <c r="BR42" s="222"/>
      <c r="BS42" s="222"/>
      <c r="BT42" s="222"/>
      <c r="BU42" s="222"/>
      <c r="BV42" s="222"/>
      <c r="BW42" s="222"/>
      <c r="CQ42" s="46"/>
      <c r="CU42" s="102"/>
      <c r="EN42" s="46"/>
    </row>
    <row r="43" spans="1:144" s="24" customFormat="1" ht="18" customHeight="1" x14ac:dyDescent="0.35">
      <c r="A43" s="654">
        <v>2</v>
      </c>
      <c r="B43" s="643"/>
      <c r="C43" s="644"/>
      <c r="D43" s="509" t="s">
        <v>499</v>
      </c>
      <c r="E43" s="510"/>
      <c r="F43" s="510"/>
      <c r="G43" s="510"/>
      <c r="H43" s="510"/>
      <c r="I43" s="510"/>
      <c r="J43" s="510"/>
      <c r="K43" s="510"/>
      <c r="L43" s="510"/>
      <c r="M43" s="510"/>
      <c r="N43" s="510"/>
      <c r="O43" s="655"/>
      <c r="P43" s="656">
        <v>1</v>
      </c>
      <c r="Q43" s="657"/>
      <c r="R43" s="658"/>
      <c r="S43" s="656" t="s">
        <v>498</v>
      </c>
      <c r="T43" s="657"/>
      <c r="U43" s="657"/>
      <c r="V43" s="658"/>
      <c r="W43" s="509" t="s">
        <v>500</v>
      </c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510"/>
      <c r="AL43" s="510"/>
      <c r="AM43" s="655"/>
      <c r="AN43" s="509"/>
      <c r="AO43" s="510"/>
      <c r="AP43" s="510"/>
      <c r="AQ43" s="510"/>
      <c r="AR43" s="510"/>
      <c r="AS43" s="510"/>
      <c r="AT43" s="659"/>
      <c r="AX43" s="102"/>
      <c r="AY43" s="224"/>
      <c r="AZ43" s="222"/>
      <c r="BA43" s="222"/>
      <c r="BB43" s="222"/>
      <c r="BC43" s="222"/>
      <c r="BD43" s="222"/>
      <c r="BE43" s="222"/>
      <c r="BF43" s="222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CQ43" s="46"/>
      <c r="CU43" s="102"/>
      <c r="EN43" s="46"/>
    </row>
    <row r="44" spans="1:144" s="24" customFormat="1" ht="18" customHeight="1" x14ac:dyDescent="0.35">
      <c r="A44" s="654">
        <v>3</v>
      </c>
      <c r="B44" s="643"/>
      <c r="C44" s="644"/>
      <c r="D44" s="509" t="s">
        <v>501</v>
      </c>
      <c r="E44" s="510"/>
      <c r="F44" s="510"/>
      <c r="G44" s="510"/>
      <c r="H44" s="510"/>
      <c r="I44" s="510"/>
      <c r="J44" s="510"/>
      <c r="K44" s="510"/>
      <c r="L44" s="510"/>
      <c r="M44" s="510"/>
      <c r="N44" s="510"/>
      <c r="O44" s="655"/>
      <c r="P44" s="656">
        <v>1</v>
      </c>
      <c r="Q44" s="657"/>
      <c r="R44" s="658"/>
      <c r="S44" s="656" t="s">
        <v>498</v>
      </c>
      <c r="T44" s="657"/>
      <c r="U44" s="657"/>
      <c r="V44" s="658"/>
      <c r="W44" s="509" t="s">
        <v>502</v>
      </c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510"/>
      <c r="AM44" s="655"/>
      <c r="AN44" s="509"/>
      <c r="AO44" s="510"/>
      <c r="AP44" s="510"/>
      <c r="AQ44" s="510"/>
      <c r="AR44" s="510"/>
      <c r="AS44" s="510"/>
      <c r="AT44" s="659"/>
      <c r="AX44" s="10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2"/>
      <c r="BI44" s="222"/>
      <c r="BJ44" s="222"/>
      <c r="BK44" s="222"/>
      <c r="BL44" s="222"/>
      <c r="BM44" s="222"/>
      <c r="BN44" s="222"/>
      <c r="BO44" s="222"/>
      <c r="BP44" s="222"/>
      <c r="BQ44" s="222"/>
      <c r="BR44" s="222"/>
      <c r="BS44" s="222"/>
      <c r="BT44" s="222"/>
      <c r="BU44" s="222"/>
      <c r="BV44" s="222"/>
      <c r="BW44" s="222"/>
      <c r="CQ44" s="46"/>
      <c r="CU44" s="102"/>
      <c r="EN44" s="46"/>
    </row>
    <row r="45" spans="1:144" s="24" customFormat="1" ht="18" customHeight="1" x14ac:dyDescent="0.35">
      <c r="A45" s="654">
        <v>4</v>
      </c>
      <c r="B45" s="643"/>
      <c r="C45" s="644"/>
      <c r="D45" s="509" t="s">
        <v>189</v>
      </c>
      <c r="E45" s="510"/>
      <c r="F45" s="510"/>
      <c r="G45" s="510"/>
      <c r="H45" s="510"/>
      <c r="I45" s="510"/>
      <c r="J45" s="510"/>
      <c r="K45" s="510"/>
      <c r="L45" s="510"/>
      <c r="M45" s="510"/>
      <c r="N45" s="510"/>
      <c r="O45" s="655"/>
      <c r="P45" s="656">
        <v>3</v>
      </c>
      <c r="Q45" s="657"/>
      <c r="R45" s="658"/>
      <c r="S45" s="656" t="s">
        <v>498</v>
      </c>
      <c r="T45" s="657"/>
      <c r="U45" s="657"/>
      <c r="V45" s="658"/>
      <c r="W45" s="509" t="s">
        <v>503</v>
      </c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0"/>
      <c r="AK45" s="510"/>
      <c r="AL45" s="510"/>
      <c r="AM45" s="655"/>
      <c r="AN45" s="509" t="s">
        <v>504</v>
      </c>
      <c r="AO45" s="510"/>
      <c r="AP45" s="510"/>
      <c r="AQ45" s="510"/>
      <c r="AR45" s="510"/>
      <c r="AS45" s="510"/>
      <c r="AT45" s="659"/>
      <c r="AX45" s="102"/>
      <c r="AY45" s="222"/>
      <c r="AZ45" s="222"/>
      <c r="BA45" s="222"/>
      <c r="BB45" s="222"/>
      <c r="BC45" s="222"/>
      <c r="BD45" s="222"/>
      <c r="BE45" s="222"/>
      <c r="BF45" s="222"/>
      <c r="BG45" s="222"/>
      <c r="BH45" s="222"/>
      <c r="BI45" s="222"/>
      <c r="BJ45" s="222"/>
      <c r="BK45" s="222"/>
      <c r="BL45" s="222"/>
      <c r="BM45" s="222"/>
      <c r="BN45" s="222"/>
      <c r="BO45" s="222"/>
      <c r="BP45" s="222"/>
      <c r="BQ45" s="222"/>
      <c r="BR45" s="222"/>
      <c r="BS45" s="222"/>
      <c r="BT45" s="222"/>
      <c r="BU45" s="222"/>
      <c r="BV45" s="222"/>
      <c r="BW45" s="222"/>
      <c r="CQ45" s="46"/>
      <c r="CU45" s="102"/>
      <c r="EN45" s="46"/>
    </row>
    <row r="46" spans="1:144" s="24" customFormat="1" ht="18" customHeight="1" x14ac:dyDescent="0.35">
      <c r="A46" s="654">
        <v>5</v>
      </c>
      <c r="B46" s="643"/>
      <c r="C46" s="644"/>
      <c r="D46" s="509" t="s">
        <v>505</v>
      </c>
      <c r="E46" s="510"/>
      <c r="F46" s="510"/>
      <c r="G46" s="510"/>
      <c r="H46" s="510"/>
      <c r="I46" s="510"/>
      <c r="J46" s="510"/>
      <c r="K46" s="510"/>
      <c r="L46" s="510"/>
      <c r="M46" s="510"/>
      <c r="N46" s="510"/>
      <c r="O46" s="655"/>
      <c r="P46" s="656">
        <v>2</v>
      </c>
      <c r="Q46" s="657"/>
      <c r="R46" s="658"/>
      <c r="S46" s="656" t="s">
        <v>498</v>
      </c>
      <c r="T46" s="657"/>
      <c r="U46" s="657"/>
      <c r="V46" s="658"/>
      <c r="W46" s="509" t="s">
        <v>503</v>
      </c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510"/>
      <c r="AL46" s="510"/>
      <c r="AM46" s="655"/>
      <c r="AN46" s="509" t="s">
        <v>506</v>
      </c>
      <c r="AO46" s="510"/>
      <c r="AP46" s="510"/>
      <c r="AQ46" s="510"/>
      <c r="AR46" s="510"/>
      <c r="AS46" s="510"/>
      <c r="AT46" s="659"/>
      <c r="AX46" s="102"/>
      <c r="AY46" s="222"/>
      <c r="AZ46" s="222"/>
      <c r="BA46" s="222"/>
      <c r="BB46" s="222"/>
      <c r="BC46" s="222"/>
      <c r="BD46" s="222"/>
      <c r="BE46" s="222"/>
      <c r="BF46" s="222"/>
      <c r="BG46" s="222"/>
      <c r="BH46" s="222"/>
      <c r="BI46" s="222"/>
      <c r="BJ46" s="222"/>
      <c r="BK46" s="222"/>
      <c r="BL46" s="222"/>
      <c r="BM46" s="222"/>
      <c r="BN46" s="222"/>
      <c r="BO46" s="222"/>
      <c r="BP46" s="222"/>
      <c r="BQ46" s="222"/>
      <c r="BR46" s="222"/>
      <c r="BS46" s="222"/>
      <c r="BT46" s="222"/>
      <c r="BU46" s="222"/>
      <c r="BV46" s="222"/>
      <c r="BW46" s="222"/>
      <c r="CQ46" s="46"/>
      <c r="CU46" s="102"/>
      <c r="EN46" s="46"/>
    </row>
    <row r="47" spans="1:144" s="24" customFormat="1" ht="18" customHeight="1" x14ac:dyDescent="0.35">
      <c r="A47" s="654">
        <v>6</v>
      </c>
      <c r="B47" s="643"/>
      <c r="C47" s="644"/>
      <c r="D47" s="509"/>
      <c r="E47" s="510"/>
      <c r="F47" s="510"/>
      <c r="G47" s="510"/>
      <c r="H47" s="510"/>
      <c r="I47" s="510"/>
      <c r="J47" s="510"/>
      <c r="K47" s="510"/>
      <c r="L47" s="510"/>
      <c r="M47" s="510"/>
      <c r="N47" s="510"/>
      <c r="O47" s="655"/>
      <c r="P47" s="693"/>
      <c r="Q47" s="694"/>
      <c r="R47" s="695"/>
      <c r="S47" s="693"/>
      <c r="T47" s="694"/>
      <c r="U47" s="694"/>
      <c r="V47" s="695"/>
      <c r="W47" s="509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655"/>
      <c r="AN47" s="509"/>
      <c r="AO47" s="510"/>
      <c r="AP47" s="510"/>
      <c r="AQ47" s="510"/>
      <c r="AR47" s="510"/>
      <c r="AS47" s="510"/>
      <c r="AT47" s="659"/>
      <c r="AX47" s="102"/>
      <c r="AY47" s="222"/>
      <c r="AZ47" s="222"/>
      <c r="BA47" s="222"/>
      <c r="BB47" s="222"/>
      <c r="BC47" s="222"/>
      <c r="BD47" s="222"/>
      <c r="BE47" s="222"/>
      <c r="BF47" s="222"/>
      <c r="BG47" s="222"/>
      <c r="BH47" s="222"/>
      <c r="BI47" s="222"/>
      <c r="BJ47" s="222"/>
      <c r="BK47" s="222"/>
      <c r="BL47" s="222"/>
      <c r="BM47" s="222"/>
      <c r="BN47" s="222"/>
      <c r="BO47" s="222"/>
      <c r="BP47" s="222"/>
      <c r="BQ47" s="222"/>
      <c r="BR47" s="222"/>
      <c r="BS47" s="222"/>
      <c r="BT47" s="222"/>
      <c r="BU47" s="222"/>
      <c r="BV47" s="222"/>
      <c r="BW47" s="222"/>
      <c r="CQ47" s="46"/>
      <c r="CU47" s="102"/>
      <c r="EN47" s="46"/>
    </row>
    <row r="48" spans="1:144" s="24" customFormat="1" ht="18" customHeight="1" x14ac:dyDescent="0.35">
      <c r="A48" s="654">
        <v>7</v>
      </c>
      <c r="B48" s="643"/>
      <c r="C48" s="644"/>
      <c r="D48" s="509"/>
      <c r="E48" s="510"/>
      <c r="F48" s="510"/>
      <c r="G48" s="510"/>
      <c r="H48" s="510"/>
      <c r="I48" s="510"/>
      <c r="J48" s="510"/>
      <c r="K48" s="510"/>
      <c r="L48" s="510"/>
      <c r="M48" s="510"/>
      <c r="N48" s="510"/>
      <c r="O48" s="655"/>
      <c r="P48" s="693"/>
      <c r="Q48" s="694"/>
      <c r="R48" s="695"/>
      <c r="S48" s="693"/>
      <c r="T48" s="694"/>
      <c r="U48" s="694"/>
      <c r="V48" s="695"/>
      <c r="W48" s="509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655"/>
      <c r="AN48" s="509"/>
      <c r="AO48" s="510"/>
      <c r="AP48" s="510"/>
      <c r="AQ48" s="510"/>
      <c r="AR48" s="510"/>
      <c r="AS48" s="510"/>
      <c r="AT48" s="659"/>
      <c r="AX48" s="102"/>
      <c r="AY48" s="222"/>
      <c r="AZ48" s="222"/>
      <c r="BA48" s="222"/>
      <c r="BB48" s="222"/>
      <c r="BC48" s="222"/>
      <c r="BD48" s="222"/>
      <c r="BE48" s="222"/>
      <c r="BF48" s="222"/>
      <c r="BG48" s="222"/>
      <c r="BH48" s="222"/>
      <c r="BI48" s="222"/>
      <c r="BJ48" s="222"/>
      <c r="BK48" s="222"/>
      <c r="BL48" s="222"/>
      <c r="BM48" s="222"/>
      <c r="BN48" s="222"/>
      <c r="BO48" s="222"/>
      <c r="BP48" s="222"/>
      <c r="BQ48" s="222"/>
      <c r="BR48" s="222"/>
      <c r="BS48" s="222"/>
      <c r="BT48" s="222"/>
      <c r="BU48" s="222"/>
      <c r="BV48" s="222"/>
      <c r="BW48" s="222"/>
      <c r="CQ48" s="46"/>
      <c r="CU48" s="102"/>
      <c r="EN48" s="46"/>
    </row>
    <row r="49" spans="1:144" s="24" customFormat="1" ht="18" customHeight="1" x14ac:dyDescent="0.35">
      <c r="A49" s="654">
        <v>8</v>
      </c>
      <c r="B49" s="643"/>
      <c r="C49" s="644"/>
      <c r="D49" s="509"/>
      <c r="E49" s="510"/>
      <c r="F49" s="510"/>
      <c r="G49" s="510"/>
      <c r="H49" s="510"/>
      <c r="I49" s="510"/>
      <c r="J49" s="510"/>
      <c r="K49" s="510"/>
      <c r="L49" s="510"/>
      <c r="M49" s="510"/>
      <c r="N49" s="510"/>
      <c r="O49" s="655"/>
      <c r="P49" s="693"/>
      <c r="Q49" s="694"/>
      <c r="R49" s="695"/>
      <c r="S49" s="693"/>
      <c r="T49" s="694"/>
      <c r="U49" s="694"/>
      <c r="V49" s="695"/>
      <c r="W49" s="509"/>
      <c r="X49" s="510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655"/>
      <c r="AN49" s="509"/>
      <c r="AO49" s="510"/>
      <c r="AP49" s="510"/>
      <c r="AQ49" s="510"/>
      <c r="AR49" s="510"/>
      <c r="AS49" s="510"/>
      <c r="AT49" s="659"/>
      <c r="AX49" s="102"/>
      <c r="AY49" s="222"/>
      <c r="AZ49" s="222"/>
      <c r="BA49" s="222"/>
      <c r="BB49" s="222"/>
      <c r="BC49" s="222"/>
      <c r="BD49" s="222"/>
      <c r="BE49" s="222"/>
      <c r="BF49" s="222"/>
      <c r="BG49" s="222"/>
      <c r="BH49" s="222"/>
      <c r="BI49" s="222"/>
      <c r="BJ49" s="222"/>
      <c r="BK49" s="222"/>
      <c r="BL49" s="222"/>
      <c r="BM49" s="222"/>
      <c r="BN49" s="222"/>
      <c r="BO49" s="222"/>
      <c r="BP49" s="222"/>
      <c r="BQ49" s="222"/>
      <c r="BR49" s="222"/>
      <c r="BS49" s="222"/>
      <c r="BT49" s="222"/>
      <c r="BU49" s="222"/>
      <c r="BV49" s="222"/>
      <c r="BW49" s="222"/>
      <c r="CQ49" s="46"/>
      <c r="CU49" s="102"/>
      <c r="EN49" s="46"/>
    </row>
    <row r="50" spans="1:144" s="24" customFormat="1" ht="18" customHeight="1" x14ac:dyDescent="0.35">
      <c r="A50" s="654">
        <v>9</v>
      </c>
      <c r="B50" s="643"/>
      <c r="C50" s="644"/>
      <c r="D50" s="509"/>
      <c r="E50" s="510"/>
      <c r="F50" s="510"/>
      <c r="G50" s="510"/>
      <c r="H50" s="510"/>
      <c r="I50" s="510"/>
      <c r="J50" s="510"/>
      <c r="K50" s="510"/>
      <c r="L50" s="510"/>
      <c r="M50" s="510"/>
      <c r="N50" s="510"/>
      <c r="O50" s="655"/>
      <c r="P50" s="693"/>
      <c r="Q50" s="694"/>
      <c r="R50" s="695"/>
      <c r="S50" s="693"/>
      <c r="T50" s="694"/>
      <c r="U50" s="694"/>
      <c r="V50" s="695"/>
      <c r="W50" s="509"/>
      <c r="X50" s="510"/>
      <c r="Y50" s="510"/>
      <c r="Z50" s="510"/>
      <c r="AA50" s="510"/>
      <c r="AB50" s="510"/>
      <c r="AC50" s="510"/>
      <c r="AD50" s="510"/>
      <c r="AE50" s="510"/>
      <c r="AF50" s="510"/>
      <c r="AG50" s="510"/>
      <c r="AH50" s="510"/>
      <c r="AI50" s="510"/>
      <c r="AJ50" s="510"/>
      <c r="AK50" s="510"/>
      <c r="AL50" s="510"/>
      <c r="AM50" s="655"/>
      <c r="AN50" s="509"/>
      <c r="AO50" s="510"/>
      <c r="AP50" s="510"/>
      <c r="AQ50" s="510"/>
      <c r="AR50" s="510"/>
      <c r="AS50" s="510"/>
      <c r="AT50" s="659"/>
      <c r="AX50" s="102"/>
      <c r="AY50" s="222"/>
      <c r="AZ50" s="222"/>
      <c r="BA50" s="222"/>
      <c r="BB50" s="222"/>
      <c r="BC50" s="222"/>
      <c r="BD50" s="222"/>
      <c r="BE50" s="222"/>
      <c r="BF50" s="222"/>
      <c r="BG50" s="222"/>
      <c r="BH50" s="222"/>
      <c r="BI50" s="222"/>
      <c r="BJ50" s="222"/>
      <c r="BK50" s="222"/>
      <c r="BL50" s="222"/>
      <c r="BM50" s="222"/>
      <c r="BN50" s="222"/>
      <c r="BO50" s="222"/>
      <c r="BP50" s="222"/>
      <c r="BQ50" s="222"/>
      <c r="BR50" s="222"/>
      <c r="BS50" s="222"/>
      <c r="BT50" s="222"/>
      <c r="BU50" s="222"/>
      <c r="BV50" s="222"/>
      <c r="BW50" s="222"/>
      <c r="CQ50" s="46"/>
      <c r="CU50" s="102"/>
      <c r="EN50" s="46"/>
    </row>
    <row r="51" spans="1:144" s="24" customFormat="1" ht="18" customHeight="1" x14ac:dyDescent="0.35">
      <c r="A51" s="654">
        <v>10</v>
      </c>
      <c r="B51" s="643"/>
      <c r="C51" s="644"/>
      <c r="D51" s="509"/>
      <c r="E51" s="510"/>
      <c r="F51" s="510"/>
      <c r="G51" s="510"/>
      <c r="H51" s="510"/>
      <c r="I51" s="510"/>
      <c r="J51" s="510"/>
      <c r="K51" s="510"/>
      <c r="L51" s="510"/>
      <c r="M51" s="510"/>
      <c r="N51" s="510"/>
      <c r="O51" s="655"/>
      <c r="P51" s="693"/>
      <c r="Q51" s="694"/>
      <c r="R51" s="695"/>
      <c r="S51" s="693"/>
      <c r="T51" s="694"/>
      <c r="U51" s="694"/>
      <c r="V51" s="695"/>
      <c r="W51" s="509"/>
      <c r="X51" s="510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655"/>
      <c r="AN51" s="509"/>
      <c r="AO51" s="510"/>
      <c r="AP51" s="510"/>
      <c r="AQ51" s="510"/>
      <c r="AR51" s="510"/>
      <c r="AS51" s="510"/>
      <c r="AT51" s="659"/>
      <c r="AX51" s="102"/>
      <c r="AY51" s="222"/>
      <c r="AZ51" s="222"/>
      <c r="BA51" s="222"/>
      <c r="BB51" s="222"/>
      <c r="BC51" s="222"/>
      <c r="BD51" s="222"/>
      <c r="BE51" s="222"/>
      <c r="BF51" s="222"/>
      <c r="BG51" s="222"/>
      <c r="BH51" s="222"/>
      <c r="BI51" s="222"/>
      <c r="BJ51" s="222"/>
      <c r="BK51" s="222"/>
      <c r="BL51" s="222"/>
      <c r="BM51" s="222"/>
      <c r="BN51" s="222"/>
      <c r="BO51" s="222"/>
      <c r="BP51" s="222"/>
      <c r="BQ51" s="222"/>
      <c r="BR51" s="222"/>
      <c r="BS51" s="222"/>
      <c r="BT51" s="222"/>
      <c r="BU51" s="222"/>
      <c r="BV51" s="222"/>
      <c r="BW51" s="222"/>
      <c r="CQ51" s="46"/>
      <c r="CU51" s="102"/>
      <c r="EN51" s="46"/>
    </row>
    <row r="52" spans="1:144" s="24" customFormat="1" ht="18" customHeight="1" x14ac:dyDescent="0.35">
      <c r="A52" s="654">
        <v>11</v>
      </c>
      <c r="B52" s="643"/>
      <c r="C52" s="644"/>
      <c r="D52" s="509"/>
      <c r="E52" s="510"/>
      <c r="F52" s="510"/>
      <c r="G52" s="510"/>
      <c r="H52" s="510"/>
      <c r="I52" s="510"/>
      <c r="J52" s="510"/>
      <c r="K52" s="510"/>
      <c r="L52" s="510"/>
      <c r="M52" s="510"/>
      <c r="N52" s="510"/>
      <c r="O52" s="655"/>
      <c r="P52" s="693"/>
      <c r="Q52" s="694"/>
      <c r="R52" s="695"/>
      <c r="S52" s="693"/>
      <c r="T52" s="694"/>
      <c r="U52" s="694"/>
      <c r="V52" s="695"/>
      <c r="W52" s="509"/>
      <c r="X52" s="510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655"/>
      <c r="AN52" s="509"/>
      <c r="AO52" s="510"/>
      <c r="AP52" s="510"/>
      <c r="AQ52" s="510"/>
      <c r="AR52" s="510"/>
      <c r="AS52" s="510"/>
      <c r="AT52" s="659"/>
      <c r="AX52" s="102"/>
      <c r="AY52" s="222"/>
      <c r="AZ52" s="222"/>
      <c r="BA52" s="222"/>
      <c r="BB52" s="222"/>
      <c r="BC52" s="222"/>
      <c r="BD52" s="222"/>
      <c r="BE52" s="222"/>
      <c r="BF52" s="222"/>
      <c r="BG52" s="222"/>
      <c r="BH52" s="222"/>
      <c r="BI52" s="222"/>
      <c r="BJ52" s="222"/>
      <c r="BK52" s="222"/>
      <c r="BL52" s="222"/>
      <c r="BM52" s="222"/>
      <c r="BN52" s="222"/>
      <c r="BO52" s="222"/>
      <c r="BP52" s="222"/>
      <c r="BQ52" s="222"/>
      <c r="BR52" s="222"/>
      <c r="BS52" s="222"/>
      <c r="BT52" s="222"/>
      <c r="BU52" s="222"/>
      <c r="BV52" s="222"/>
      <c r="BW52" s="222"/>
      <c r="CQ52" s="46"/>
      <c r="CU52" s="102"/>
      <c r="EN52" s="46"/>
    </row>
    <row r="53" spans="1:144" s="24" customFormat="1" ht="18" customHeight="1" thickBot="1" x14ac:dyDescent="0.4">
      <c r="A53" s="654">
        <v>12</v>
      </c>
      <c r="B53" s="643"/>
      <c r="C53" s="644"/>
      <c r="D53" s="726"/>
      <c r="E53" s="727"/>
      <c r="F53" s="727"/>
      <c r="G53" s="727"/>
      <c r="H53" s="727"/>
      <c r="I53" s="727"/>
      <c r="J53" s="727"/>
      <c r="K53" s="727"/>
      <c r="L53" s="727"/>
      <c r="M53" s="727"/>
      <c r="N53" s="727"/>
      <c r="O53" s="728"/>
      <c r="P53" s="726"/>
      <c r="Q53" s="727"/>
      <c r="R53" s="728"/>
      <c r="S53" s="726"/>
      <c r="T53" s="727"/>
      <c r="U53" s="727"/>
      <c r="V53" s="728"/>
      <c r="W53" s="726"/>
      <c r="X53" s="727"/>
      <c r="Y53" s="727"/>
      <c r="Z53" s="727"/>
      <c r="AA53" s="727"/>
      <c r="AB53" s="727"/>
      <c r="AC53" s="727"/>
      <c r="AD53" s="727"/>
      <c r="AE53" s="727"/>
      <c r="AF53" s="727"/>
      <c r="AG53" s="727"/>
      <c r="AH53" s="727"/>
      <c r="AI53" s="727"/>
      <c r="AJ53" s="727"/>
      <c r="AK53" s="727"/>
      <c r="AL53" s="727"/>
      <c r="AM53" s="728"/>
      <c r="AN53" s="726"/>
      <c r="AO53" s="727"/>
      <c r="AP53" s="727"/>
      <c r="AQ53" s="727"/>
      <c r="AR53" s="727"/>
      <c r="AS53" s="727"/>
      <c r="AT53" s="729"/>
      <c r="AX53" s="102"/>
      <c r="AY53" s="222"/>
      <c r="AZ53" s="222"/>
      <c r="BA53" s="222"/>
      <c r="BB53" s="222"/>
      <c r="BC53" s="222"/>
      <c r="BD53" s="222"/>
      <c r="BE53" s="222"/>
      <c r="BF53" s="222"/>
      <c r="BG53" s="222"/>
      <c r="BH53" s="222"/>
      <c r="BI53" s="222"/>
      <c r="BJ53" s="222"/>
      <c r="BK53" s="222"/>
      <c r="BL53" s="222"/>
      <c r="BM53" s="222"/>
      <c r="BN53" s="222"/>
      <c r="BO53" s="222"/>
      <c r="BP53" s="222"/>
      <c r="BQ53" s="222"/>
      <c r="BR53" s="222"/>
      <c r="BS53" s="222"/>
      <c r="BT53" s="222"/>
      <c r="BU53" s="222"/>
      <c r="BV53" s="222"/>
      <c r="BW53" s="222"/>
      <c r="CQ53" s="46"/>
      <c r="CU53" s="102"/>
      <c r="EN53" s="46"/>
    </row>
    <row r="54" spans="1:144" s="24" customFormat="1" ht="18" customHeight="1" x14ac:dyDescent="0.35">
      <c r="A54" s="274" t="s">
        <v>507</v>
      </c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6"/>
      <c r="W54" s="696" t="s">
        <v>285</v>
      </c>
      <c r="X54" s="697"/>
      <c r="Y54" s="697"/>
      <c r="Z54" s="697"/>
      <c r="AA54" s="697"/>
      <c r="AB54" s="697"/>
      <c r="AC54" s="697"/>
      <c r="AD54" s="697"/>
      <c r="AE54" s="697"/>
      <c r="AF54" s="697"/>
      <c r="AG54" s="698"/>
      <c r="AH54" s="705" t="s">
        <v>508</v>
      </c>
      <c r="AI54" s="521"/>
      <c r="AJ54" s="521"/>
      <c r="AK54" s="521"/>
      <c r="AL54" s="521"/>
      <c r="AM54" s="522"/>
      <c r="AN54" s="706"/>
      <c r="AO54" s="707"/>
      <c r="AP54" s="707"/>
      <c r="AQ54" s="707"/>
      <c r="AR54" s="707"/>
      <c r="AS54" s="707"/>
      <c r="AT54" s="708"/>
      <c r="AX54" s="102"/>
      <c r="AY54" s="222"/>
      <c r="AZ54" s="222"/>
      <c r="BA54" s="222"/>
      <c r="BB54" s="222"/>
      <c r="BC54" s="222"/>
      <c r="BD54" s="222"/>
      <c r="BE54" s="222"/>
      <c r="BF54" s="222"/>
      <c r="BG54" s="222"/>
      <c r="BH54" s="222"/>
      <c r="BI54" s="222"/>
      <c r="BJ54" s="222"/>
      <c r="BK54" s="222"/>
      <c r="BL54" s="222"/>
      <c r="BM54" s="222"/>
      <c r="BN54" s="222"/>
      <c r="BO54" s="222"/>
      <c r="BP54" s="222"/>
      <c r="BQ54" s="222"/>
      <c r="BR54" s="222"/>
      <c r="BS54" s="222"/>
      <c r="BT54" s="222"/>
      <c r="BU54" s="222"/>
      <c r="BV54" s="222"/>
      <c r="BW54" s="222"/>
      <c r="CQ54" s="46"/>
      <c r="CU54" s="102"/>
      <c r="EN54" s="46"/>
    </row>
    <row r="55" spans="1:144" s="24" customFormat="1" ht="18" customHeight="1" thickBot="1" x14ac:dyDescent="0.4">
      <c r="A55" s="709"/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1"/>
      <c r="W55" s="699"/>
      <c r="X55" s="700"/>
      <c r="Y55" s="700"/>
      <c r="Z55" s="700"/>
      <c r="AA55" s="700"/>
      <c r="AB55" s="700"/>
      <c r="AC55" s="700"/>
      <c r="AD55" s="700"/>
      <c r="AE55" s="700"/>
      <c r="AF55" s="700"/>
      <c r="AG55" s="701"/>
      <c r="AH55" s="715" t="s">
        <v>287</v>
      </c>
      <c r="AI55" s="664"/>
      <c r="AJ55" s="664"/>
      <c r="AK55" s="664"/>
      <c r="AL55" s="664"/>
      <c r="AM55" s="716"/>
      <c r="AN55" s="717"/>
      <c r="AO55" s="718"/>
      <c r="AP55" s="718"/>
      <c r="AQ55" s="718"/>
      <c r="AR55" s="718"/>
      <c r="AS55" s="718"/>
      <c r="AT55" s="719"/>
      <c r="AX55" s="88"/>
      <c r="AY55" s="277"/>
      <c r="AZ55" s="277"/>
      <c r="BA55" s="277"/>
      <c r="BB55" s="277"/>
      <c r="BC55" s="277"/>
      <c r="BD55" s="277"/>
      <c r="BE55" s="277"/>
      <c r="BF55" s="277"/>
      <c r="BG55" s="277"/>
      <c r="BH55" s="277"/>
      <c r="BI55" s="277"/>
      <c r="BJ55" s="277"/>
      <c r="BK55" s="277"/>
      <c r="BL55" s="277"/>
      <c r="BM55" s="277"/>
      <c r="BN55" s="277"/>
      <c r="BO55" s="277"/>
      <c r="BP55" s="277"/>
      <c r="BQ55" s="277"/>
      <c r="BR55" s="277"/>
      <c r="BS55" s="277"/>
      <c r="BT55" s="277"/>
      <c r="BU55" s="277"/>
      <c r="BV55" s="277"/>
      <c r="BW55" s="277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278"/>
      <c r="CU55" s="88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278"/>
    </row>
    <row r="56" spans="1:144" s="24" customFormat="1" ht="18" customHeight="1" thickBot="1" x14ac:dyDescent="0.4">
      <c r="A56" s="712"/>
      <c r="B56" s="713"/>
      <c r="C56" s="713"/>
      <c r="D56" s="713"/>
      <c r="E56" s="713"/>
      <c r="F56" s="713"/>
      <c r="G56" s="713"/>
      <c r="H56" s="713"/>
      <c r="I56" s="713"/>
      <c r="J56" s="713"/>
      <c r="K56" s="713"/>
      <c r="L56" s="713"/>
      <c r="M56" s="713"/>
      <c r="N56" s="713"/>
      <c r="O56" s="713"/>
      <c r="P56" s="713"/>
      <c r="Q56" s="713"/>
      <c r="R56" s="713"/>
      <c r="S56" s="713"/>
      <c r="T56" s="713"/>
      <c r="U56" s="713"/>
      <c r="V56" s="714"/>
      <c r="W56" s="702"/>
      <c r="X56" s="703"/>
      <c r="Y56" s="703"/>
      <c r="Z56" s="703"/>
      <c r="AA56" s="703"/>
      <c r="AB56" s="703"/>
      <c r="AC56" s="703"/>
      <c r="AD56" s="703"/>
      <c r="AE56" s="703"/>
      <c r="AF56" s="703"/>
      <c r="AG56" s="704"/>
      <c r="AH56" s="720" t="s">
        <v>288</v>
      </c>
      <c r="AI56" s="721"/>
      <c r="AJ56" s="721"/>
      <c r="AK56" s="721"/>
      <c r="AL56" s="721"/>
      <c r="AM56" s="722"/>
      <c r="AN56" s="723" t="s">
        <v>509</v>
      </c>
      <c r="AO56" s="724"/>
      <c r="AP56" s="724"/>
      <c r="AQ56" s="724"/>
      <c r="AR56" s="724"/>
      <c r="AS56" s="724"/>
      <c r="AT56" s="725"/>
    </row>
    <row r="57" spans="1:144" s="24" customFormat="1" ht="18" customHeight="1" x14ac:dyDescent="0.35"/>
    <row r="58" spans="1:144" s="24" customFormat="1" ht="18" customHeight="1" x14ac:dyDescent="0.35"/>
    <row r="59" spans="1:144" s="24" customFormat="1" ht="18" customHeight="1" x14ac:dyDescent="0.35"/>
    <row r="60" spans="1:144" s="24" customFormat="1" ht="18" customHeight="1" x14ac:dyDescent="0.35"/>
    <row r="61" spans="1:144" s="24" customFormat="1" ht="18" customHeight="1" x14ac:dyDescent="0.35"/>
    <row r="62" spans="1:144" s="24" customFormat="1" ht="18" customHeight="1" x14ac:dyDescent="0.35"/>
    <row r="63" spans="1:144" s="24" customFormat="1" ht="18" customHeight="1" x14ac:dyDescent="0.35"/>
    <row r="64" spans="1:144" s="24" customFormat="1" ht="18" customHeight="1" x14ac:dyDescent="0.35"/>
    <row r="65" spans="1:46" ht="18" customHeight="1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</row>
  </sheetData>
  <dataConsolidate/>
  <mergeCells count="223">
    <mergeCell ref="W54:AG56"/>
    <mergeCell ref="AH54:AM54"/>
    <mergeCell ref="AN54:AT54"/>
    <mergeCell ref="A55:V56"/>
    <mergeCell ref="AH55:AM55"/>
    <mergeCell ref="AN55:AT55"/>
    <mergeCell ref="AH56:AM56"/>
    <mergeCell ref="AN56:AT56"/>
    <mergeCell ref="A53:C53"/>
    <mergeCell ref="D53:O53"/>
    <mergeCell ref="P53:R53"/>
    <mergeCell ref="S53:V53"/>
    <mergeCell ref="W53:AM53"/>
    <mergeCell ref="AN53:AT53"/>
    <mergeCell ref="A52:C52"/>
    <mergeCell ref="D52:O52"/>
    <mergeCell ref="P52:R52"/>
    <mergeCell ref="S52:V52"/>
    <mergeCell ref="W52:AM52"/>
    <mergeCell ref="AN52:AT52"/>
    <mergeCell ref="A51:C51"/>
    <mergeCell ref="D51:O51"/>
    <mergeCell ref="P51:R51"/>
    <mergeCell ref="S51:V51"/>
    <mergeCell ref="W51:AM51"/>
    <mergeCell ref="AN51:AT51"/>
    <mergeCell ref="A50:C50"/>
    <mergeCell ref="D50:O50"/>
    <mergeCell ref="P50:R50"/>
    <mergeCell ref="S50:V50"/>
    <mergeCell ref="W50:AM50"/>
    <mergeCell ref="AN50:AT50"/>
    <mergeCell ref="A49:C49"/>
    <mergeCell ref="D49:O49"/>
    <mergeCell ref="P49:R49"/>
    <mergeCell ref="S49:V49"/>
    <mergeCell ref="W49:AM49"/>
    <mergeCell ref="AN49:AT49"/>
    <mergeCell ref="A48:C48"/>
    <mergeCell ref="D48:O48"/>
    <mergeCell ref="P48:R48"/>
    <mergeCell ref="S48:V48"/>
    <mergeCell ref="W48:AM48"/>
    <mergeCell ref="AN48:AT48"/>
    <mergeCell ref="A47:C47"/>
    <mergeCell ref="D47:O47"/>
    <mergeCell ref="P47:R47"/>
    <mergeCell ref="S47:V47"/>
    <mergeCell ref="W47:AM47"/>
    <mergeCell ref="AN47:AT47"/>
    <mergeCell ref="A46:C46"/>
    <mergeCell ref="D46:O46"/>
    <mergeCell ref="P46:R46"/>
    <mergeCell ref="S46:V46"/>
    <mergeCell ref="W46:AM46"/>
    <mergeCell ref="AN46:AT46"/>
    <mergeCell ref="A45:C45"/>
    <mergeCell ref="D45:O45"/>
    <mergeCell ref="P45:R45"/>
    <mergeCell ref="S45:V45"/>
    <mergeCell ref="W45:AM45"/>
    <mergeCell ref="AN45:AT45"/>
    <mergeCell ref="A44:C44"/>
    <mergeCell ref="D44:O44"/>
    <mergeCell ref="P44:R44"/>
    <mergeCell ref="S44:V44"/>
    <mergeCell ref="W44:AM44"/>
    <mergeCell ref="AN44:AT44"/>
    <mergeCell ref="A43:C43"/>
    <mergeCell ref="D43:O43"/>
    <mergeCell ref="P43:R43"/>
    <mergeCell ref="S43:V43"/>
    <mergeCell ref="W43:AM43"/>
    <mergeCell ref="AN43:AT43"/>
    <mergeCell ref="AN42:AT42"/>
    <mergeCell ref="F38:L38"/>
    <mergeCell ref="M38:P38"/>
    <mergeCell ref="Q38:T38"/>
    <mergeCell ref="U38:AT38"/>
    <mergeCell ref="A40:C41"/>
    <mergeCell ref="D40:O41"/>
    <mergeCell ref="P40:R41"/>
    <mergeCell ref="W40:AM41"/>
    <mergeCell ref="AN40:AT41"/>
    <mergeCell ref="A36:E38"/>
    <mergeCell ref="F36:T36"/>
    <mergeCell ref="U36:Z36"/>
    <mergeCell ref="F37:L37"/>
    <mergeCell ref="M37:P37"/>
    <mergeCell ref="Q37:T37"/>
    <mergeCell ref="U37:AT37"/>
    <mergeCell ref="M34:N34"/>
    <mergeCell ref="O34:P34"/>
    <mergeCell ref="Q34:R34"/>
    <mergeCell ref="S34:T34"/>
    <mergeCell ref="U34:V34"/>
    <mergeCell ref="W34:X34"/>
    <mergeCell ref="A42:C42"/>
    <mergeCell ref="D42:O42"/>
    <mergeCell ref="P42:R42"/>
    <mergeCell ref="S42:V42"/>
    <mergeCell ref="W42:AM42"/>
    <mergeCell ref="AK35:AL35"/>
    <mergeCell ref="AM35:AN35"/>
    <mergeCell ref="AO35:AP35"/>
    <mergeCell ref="S35:T35"/>
    <mergeCell ref="U35:V35"/>
    <mergeCell ref="W35:X35"/>
    <mergeCell ref="Y34:Z34"/>
    <mergeCell ref="AA34:AB34"/>
    <mergeCell ref="AC34:AD34"/>
    <mergeCell ref="AE34:AF34"/>
    <mergeCell ref="AG34:AH34"/>
    <mergeCell ref="AI34:AJ34"/>
    <mergeCell ref="Y35:Z35"/>
    <mergeCell ref="AA35:AB35"/>
    <mergeCell ref="AC35:AD35"/>
    <mergeCell ref="AE35:AF35"/>
    <mergeCell ref="AG35:AH35"/>
    <mergeCell ref="AI35:AJ35"/>
    <mergeCell ref="AZ31:BU32"/>
    <mergeCell ref="S32:V32"/>
    <mergeCell ref="AE32:AL32"/>
    <mergeCell ref="AM32:AT32"/>
    <mergeCell ref="A33:E33"/>
    <mergeCell ref="AQ33:AT35"/>
    <mergeCell ref="AZ33:BU34"/>
    <mergeCell ref="A34:E35"/>
    <mergeCell ref="F34:J35"/>
    <mergeCell ref="K34:L34"/>
    <mergeCell ref="F30:J32"/>
    <mergeCell ref="S30:V30"/>
    <mergeCell ref="AE30:AL30"/>
    <mergeCell ref="AM30:AT30"/>
    <mergeCell ref="S31:V31"/>
    <mergeCell ref="AE31:AL31"/>
    <mergeCell ref="AM31:AT31"/>
    <mergeCell ref="AK34:AL34"/>
    <mergeCell ref="AM34:AN34"/>
    <mergeCell ref="AO34:AP34"/>
    <mergeCell ref="K35:L35"/>
    <mergeCell ref="M35:N35"/>
    <mergeCell ref="O35:P35"/>
    <mergeCell ref="Q35:R35"/>
    <mergeCell ref="AZ16:CQ17"/>
    <mergeCell ref="A17:M19"/>
    <mergeCell ref="R17:AD17"/>
    <mergeCell ref="AJ17:AS17"/>
    <mergeCell ref="N18:AE19"/>
    <mergeCell ref="AF18:AT19"/>
    <mergeCell ref="CW25:DR26"/>
    <mergeCell ref="A27:M28"/>
    <mergeCell ref="N27:AT28"/>
    <mergeCell ref="AZ28:BR29"/>
    <mergeCell ref="W29:AB29"/>
    <mergeCell ref="AH29:AO29"/>
    <mergeCell ref="AZ18:CQ19"/>
    <mergeCell ref="A20:M23"/>
    <mergeCell ref="N20:AT20"/>
    <mergeCell ref="N21:AT23"/>
    <mergeCell ref="A24:M26"/>
    <mergeCell ref="N24:AT24"/>
    <mergeCell ref="AZ24:CM25"/>
    <mergeCell ref="N25:AT26"/>
    <mergeCell ref="O14:U14"/>
    <mergeCell ref="W14:AA14"/>
    <mergeCell ref="AC14:AG14"/>
    <mergeCell ref="AJ14:AT14"/>
    <mergeCell ref="O15:U15"/>
    <mergeCell ref="W15:AA15"/>
    <mergeCell ref="AC15:AG15"/>
    <mergeCell ref="AJ15:AT15"/>
    <mergeCell ref="A12:M16"/>
    <mergeCell ref="O12:U12"/>
    <mergeCell ref="W12:AA12"/>
    <mergeCell ref="AC12:AG12"/>
    <mergeCell ref="AJ12:AL12"/>
    <mergeCell ref="AP12:AT12"/>
    <mergeCell ref="O13:U13"/>
    <mergeCell ref="W13:AA13"/>
    <mergeCell ref="AC13:AG13"/>
    <mergeCell ref="AJ13:AT13"/>
    <mergeCell ref="O16:U16"/>
    <mergeCell ref="W16:AA16"/>
    <mergeCell ref="AC16:AG16"/>
    <mergeCell ref="AJ16:AT16"/>
    <mergeCell ref="A9:M11"/>
    <mergeCell ref="O9:W9"/>
    <mergeCell ref="Z9:AI9"/>
    <mergeCell ref="AJ9:AL9"/>
    <mergeCell ref="O10:W10"/>
    <mergeCell ref="Z10:AI10"/>
    <mergeCell ref="AJ10:AT10"/>
    <mergeCell ref="O11:W11"/>
    <mergeCell ref="Z11:AI11"/>
    <mergeCell ref="AJ11:AT11"/>
    <mergeCell ref="A7:M7"/>
    <mergeCell ref="N7:W7"/>
    <mergeCell ref="X7:AC7"/>
    <mergeCell ref="AD7:AJ7"/>
    <mergeCell ref="AP7:AT8"/>
    <mergeCell ref="A8:M8"/>
    <mergeCell ref="N8:AJ8"/>
    <mergeCell ref="AK8:AO8"/>
    <mergeCell ref="A5:E5"/>
    <mergeCell ref="F5:M5"/>
    <mergeCell ref="N5:W5"/>
    <mergeCell ref="AD5:AT6"/>
    <mergeCell ref="A6:E6"/>
    <mergeCell ref="F6:M6"/>
    <mergeCell ref="N6:W6"/>
    <mergeCell ref="B4:H4"/>
    <mergeCell ref="AK4:AL4"/>
    <mergeCell ref="AY4:BE4"/>
    <mergeCell ref="CH4:CI4"/>
    <mergeCell ref="CV4:DB4"/>
    <mergeCell ref="EE4:EF4"/>
    <mergeCell ref="J1:AJ2"/>
    <mergeCell ref="BG1:CG2"/>
    <mergeCell ref="DD1:ED2"/>
    <mergeCell ref="J3:AJ4"/>
    <mergeCell ref="BG3:CG4"/>
    <mergeCell ref="DD3:ED4"/>
  </mergeCells>
  <conditionalFormatting sqref="F34:J35">
    <cfRule type="beginsWith" dxfId="7" priority="1" operator="beginsWith" text="D">
      <formula>LEFT(F34,LEN("D"))="D"</formula>
    </cfRule>
    <cfRule type="beginsWith" dxfId="6" priority="2" operator="beginsWith" text="C">
      <formula>LEFT(F34,LEN("C"))="C"</formula>
    </cfRule>
    <cfRule type="beginsWith" dxfId="5" priority="3" operator="beginsWith" text="B">
      <formula>LEFT(F34,LEN("B"))="B"</formula>
    </cfRule>
    <cfRule type="containsText" dxfId="4" priority="4" operator="containsText" text="Newly">
      <formula>NOT(ISERROR(SEARCH("Newly",F34)))</formula>
    </cfRule>
  </conditionalFormatting>
  <conditionalFormatting sqref="M35:R35 U35:Z35 AC35:AH35 AK35:AP35">
    <cfRule type="cellIs" dxfId="3" priority="5" operator="greaterThan">
      <formula>6.51</formula>
    </cfRule>
    <cfRule type="cellIs" dxfId="2" priority="6" operator="between">
      <formula>4.01</formula>
      <formula>6.5</formula>
    </cfRule>
    <cfRule type="cellIs" dxfId="1" priority="7" operator="between">
      <formula>2.51</formula>
      <formula>4</formula>
    </cfRule>
    <cfRule type="cellIs" dxfId="0" priority="8" operator="between">
      <formula>0</formula>
      <formula>2.5</formula>
    </cfRule>
  </conditionalFormatting>
  <printOptions horizontalCentered="1" verticalCentered="1"/>
  <pageMargins left="0.5" right="0.196850393700787" top="0.75" bottom="0.5" header="0.511811023622047" footer="0.23622047244094499"/>
  <pageSetup paperSize="9" scale="77" orientation="portrait" r:id="rId1"/>
  <headerFooter>
    <oddHeader>&amp;C&amp;"Calibri"&amp;10&amp;K000000  AGC Group Internal Use Only &amp;1#_x000D_</oddHeader>
    <oddFooter>&amp;L&amp;"Arial,Bold"&amp;8INTERNAL USE ONLY&amp;R&amp;"Tw Cen MT,Regular"&amp;5&amp;Z&amp;F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C038-7BD4-427A-B725-BD397F6CA33F}">
  <sheetPr>
    <tabColor rgb="FFFFC000"/>
  </sheetPr>
  <dimension ref="A2:BJ17"/>
  <sheetViews>
    <sheetView tabSelected="1" topLeftCell="V1" zoomScale="115" zoomScaleNormal="115" workbookViewId="0">
      <selection activeCell="X10" sqref="X10"/>
    </sheetView>
  </sheetViews>
  <sheetFormatPr defaultRowHeight="14.5" x14ac:dyDescent="0.35"/>
  <cols>
    <col min="2" max="2" width="6.7265625" bestFit="1" customWidth="1"/>
    <col min="3" max="3" width="8.08984375" bestFit="1" customWidth="1"/>
    <col min="4" max="4" width="18.26953125" bestFit="1" customWidth="1"/>
    <col min="5" max="5" width="31.36328125" bestFit="1" customWidth="1"/>
    <col min="6" max="6" width="8.7265625" bestFit="1" customWidth="1"/>
    <col min="7" max="7" width="23.81640625" bestFit="1" customWidth="1"/>
    <col min="8" max="8" width="22.36328125" bestFit="1" customWidth="1"/>
    <col min="9" max="9" width="13.54296875" bestFit="1" customWidth="1"/>
    <col min="10" max="10" width="19.36328125" bestFit="1" customWidth="1"/>
    <col min="11" max="11" width="18.7265625" bestFit="1" customWidth="1"/>
    <col min="12" max="12" width="32.81640625" bestFit="1" customWidth="1"/>
    <col min="13" max="13" width="14.453125" bestFit="1" customWidth="1"/>
    <col min="14" max="14" width="13.08984375" bestFit="1" customWidth="1"/>
    <col min="15" max="17" width="18.36328125" bestFit="1" customWidth="1"/>
    <col min="18" max="18" width="21.36328125" bestFit="1" customWidth="1"/>
    <col min="19" max="19" width="13.54296875" bestFit="1" customWidth="1"/>
    <col min="20" max="20" width="20" bestFit="1" customWidth="1"/>
    <col min="21" max="21" width="19.26953125" bestFit="1" customWidth="1"/>
    <col min="22" max="22" width="15.453125" bestFit="1" customWidth="1"/>
    <col min="23" max="23" width="19.1796875" bestFit="1" customWidth="1"/>
    <col min="24" max="24" width="61.453125" bestFit="1" customWidth="1"/>
    <col min="25" max="30" width="61.453125" customWidth="1"/>
    <col min="31" max="31" width="20.1796875" bestFit="1" customWidth="1"/>
    <col min="32" max="32" width="25.54296875" bestFit="1" customWidth="1"/>
    <col min="33" max="33" width="24.08984375" bestFit="1" customWidth="1"/>
    <col min="34" max="34" width="23.6328125" bestFit="1" customWidth="1"/>
    <col min="35" max="35" width="10" bestFit="1" customWidth="1"/>
    <col min="36" max="36" width="11.36328125" bestFit="1" customWidth="1"/>
    <col min="37" max="37" width="17.1796875" bestFit="1" customWidth="1"/>
    <col min="38" max="39" width="23.90625" bestFit="1" customWidth="1"/>
    <col min="40" max="40" width="19.81640625" bestFit="1" customWidth="1"/>
    <col min="41" max="41" width="15.26953125" bestFit="1" customWidth="1"/>
    <col min="42" max="42" width="15.7265625" bestFit="1" customWidth="1"/>
    <col min="43" max="43" width="18.54296875" bestFit="1" customWidth="1"/>
    <col min="44" max="44" width="25.54296875" bestFit="1" customWidth="1"/>
    <col min="45" max="45" width="28.90625" bestFit="1" customWidth="1"/>
    <col min="46" max="46" width="21.90625" bestFit="1" customWidth="1"/>
    <col min="47" max="47" width="26.7265625" bestFit="1" customWidth="1"/>
    <col min="48" max="48" width="30.1796875" bestFit="1" customWidth="1"/>
    <col min="49" max="49" width="23.36328125" bestFit="1" customWidth="1"/>
    <col min="50" max="50" width="25.90625" bestFit="1" customWidth="1"/>
    <col min="51" max="51" width="29.453125" bestFit="1" customWidth="1"/>
    <col min="52" max="52" width="22.36328125" bestFit="1" customWidth="1"/>
    <col min="53" max="53" width="27.36328125" bestFit="1" customWidth="1"/>
    <col min="54" max="54" width="30.7265625" bestFit="1" customWidth="1"/>
    <col min="55" max="55" width="24" bestFit="1" customWidth="1"/>
    <col min="56" max="56" width="18.54296875" bestFit="1" customWidth="1"/>
    <col min="57" max="57" width="19.81640625" bestFit="1" customWidth="1"/>
    <col min="58" max="58" width="19.08984375" bestFit="1" customWidth="1"/>
    <col min="59" max="59" width="20.453125" bestFit="1" customWidth="1"/>
    <col min="60" max="60" width="20.453125" customWidth="1"/>
    <col min="61" max="61" width="29.1796875" customWidth="1"/>
    <col min="62" max="62" width="26.7265625" customWidth="1"/>
  </cols>
  <sheetData>
    <row r="2" spans="1:62" ht="31" customHeight="1" x14ac:dyDescent="0.35">
      <c r="A2" s="8" t="s">
        <v>297</v>
      </c>
      <c r="B2" s="1" t="s">
        <v>30</v>
      </c>
      <c r="C2" s="1" t="s">
        <v>29</v>
      </c>
      <c r="D2" s="1" t="s">
        <v>28</v>
      </c>
      <c r="E2" s="1" t="s">
        <v>27</v>
      </c>
      <c r="F2" s="1" t="s">
        <v>26</v>
      </c>
      <c r="G2" s="1" t="s">
        <v>25</v>
      </c>
      <c r="H2" s="1" t="s">
        <v>24</v>
      </c>
      <c r="I2" s="1" t="s">
        <v>23</v>
      </c>
      <c r="J2" s="1" t="s">
        <v>22</v>
      </c>
      <c r="K2" s="1" t="s">
        <v>21</v>
      </c>
      <c r="L2" s="1" t="s">
        <v>289</v>
      </c>
      <c r="M2" s="7" t="s">
        <v>20</v>
      </c>
      <c r="N2" s="7" t="s">
        <v>31</v>
      </c>
      <c r="O2" s="7" t="s">
        <v>32</v>
      </c>
      <c r="P2" s="7" t="s">
        <v>33</v>
      </c>
      <c r="Q2" s="7" t="s">
        <v>34</v>
      </c>
      <c r="R2" s="7" t="s">
        <v>36</v>
      </c>
      <c r="S2" s="7" t="s">
        <v>35</v>
      </c>
      <c r="T2" s="7" t="s">
        <v>37</v>
      </c>
      <c r="U2" s="7" t="s">
        <v>38</v>
      </c>
      <c r="V2" s="7" t="s">
        <v>290</v>
      </c>
      <c r="W2" s="7" t="s">
        <v>16</v>
      </c>
      <c r="X2" s="1" t="s">
        <v>15</v>
      </c>
      <c r="Y2" s="1" t="s">
        <v>518</v>
      </c>
      <c r="Z2" s="1" t="s">
        <v>519</v>
      </c>
      <c r="AA2" s="1" t="s">
        <v>520</v>
      </c>
      <c r="AB2" s="1" t="s">
        <v>521</v>
      </c>
      <c r="AC2" s="1" t="s">
        <v>522</v>
      </c>
      <c r="AD2" s="1" t="s">
        <v>523</v>
      </c>
      <c r="AE2" s="1"/>
      <c r="AF2" s="1" t="s">
        <v>226</v>
      </c>
      <c r="AG2" s="1" t="s">
        <v>227</v>
      </c>
      <c r="AH2" s="1" t="s">
        <v>228</v>
      </c>
      <c r="AI2" s="1" t="s">
        <v>12</v>
      </c>
      <c r="AJ2" s="1" t="s">
        <v>11</v>
      </c>
      <c r="AK2" s="1" t="s">
        <v>10</v>
      </c>
      <c r="AL2" s="7" t="s">
        <v>229</v>
      </c>
      <c r="AM2" s="7" t="s">
        <v>291</v>
      </c>
      <c r="AN2" s="7" t="s">
        <v>230</v>
      </c>
      <c r="AO2" s="7" t="s">
        <v>231</v>
      </c>
      <c r="AP2" s="1" t="s">
        <v>5</v>
      </c>
      <c r="AQ2" s="1" t="s">
        <v>4</v>
      </c>
      <c r="AR2" s="1" t="s">
        <v>233</v>
      </c>
      <c r="AS2" s="1" t="s">
        <v>234</v>
      </c>
      <c r="AT2" s="1" t="s">
        <v>292</v>
      </c>
      <c r="AU2" s="1" t="s">
        <v>236</v>
      </c>
      <c r="AV2" s="1" t="s">
        <v>237</v>
      </c>
      <c r="AW2" s="1" t="s">
        <v>293</v>
      </c>
      <c r="AX2" s="1" t="s">
        <v>239</v>
      </c>
      <c r="AY2" s="1" t="s">
        <v>240</v>
      </c>
      <c r="AZ2" s="1" t="s">
        <v>294</v>
      </c>
      <c r="BA2" s="1" t="s">
        <v>242</v>
      </c>
      <c r="BB2" s="1" t="s">
        <v>243</v>
      </c>
      <c r="BC2" s="1" t="s">
        <v>295</v>
      </c>
      <c r="BD2" s="1" t="s">
        <v>232</v>
      </c>
      <c r="BE2" s="1" t="s">
        <v>235</v>
      </c>
      <c r="BF2" s="1" t="s">
        <v>238</v>
      </c>
      <c r="BG2" s="1" t="s">
        <v>241</v>
      </c>
      <c r="BH2" s="1" t="s">
        <v>296</v>
      </c>
      <c r="BI2" s="872" t="s">
        <v>524</v>
      </c>
      <c r="BJ2" s="872" t="s">
        <v>525</v>
      </c>
    </row>
    <row r="3" spans="1:62" x14ac:dyDescent="0.35">
      <c r="A3" s="3"/>
      <c r="B3" s="3"/>
      <c r="C3" s="3"/>
      <c r="D3" s="3"/>
      <c r="E3" s="3"/>
      <c r="F3" s="3"/>
      <c r="G3" s="93"/>
      <c r="H3" s="94"/>
      <c r="I3" s="5"/>
      <c r="J3" s="96"/>
      <c r="K3" s="3"/>
      <c r="L3" s="6">
        <f>I3*J3</f>
        <v>0</v>
      </c>
      <c r="M3" s="3"/>
      <c r="N3" s="4"/>
      <c r="O3" s="3"/>
      <c r="P3" s="3"/>
      <c r="Q3" s="4"/>
      <c r="R3" s="3"/>
      <c r="S3" s="4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F3" s="95">
        <f>H3</f>
        <v>0</v>
      </c>
      <c r="AG3" s="3"/>
      <c r="AH3" s="3"/>
      <c r="AI3" s="12"/>
      <c r="AJ3" s="13"/>
      <c r="AK3" s="14"/>
      <c r="AL3" s="3"/>
      <c r="AM3" s="3"/>
      <c r="AN3" s="3"/>
      <c r="AO3" s="3"/>
      <c r="AP3" s="3"/>
      <c r="AQ3" s="3" t="str">
        <f>IF(OR(MAX(AR3:BC3)=0, MAX(AR3:BC3)=""), "", IF(MAX(AR3:BC3)&gt;=7.1, "Damage Occour", IF(MAX(AR3:BC3)&gt;=4.5, "Restricted Operation", IF(MAX(AR3:BC3)&gt;=2.3, "Unrestricted Operation", IF(MAX(AR3:BC3)&gt;=0.1, "EXCELLENT", "")))))</f>
        <v/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4"/>
      <c r="BH3" s="3"/>
      <c r="BI3" s="3"/>
      <c r="BJ3" s="3"/>
    </row>
    <row r="4" spans="1:62" x14ac:dyDescent="0.35">
      <c r="K4" s="3"/>
      <c r="M4" s="3"/>
      <c r="O4" s="3"/>
      <c r="P4" s="3"/>
      <c r="R4" s="3"/>
      <c r="T4" s="3"/>
      <c r="X4" s="3"/>
      <c r="Y4" s="3"/>
      <c r="Z4" s="3"/>
      <c r="AA4" s="3"/>
      <c r="AB4" s="3"/>
      <c r="AC4" s="3"/>
      <c r="AD4" s="3"/>
      <c r="AG4" s="3"/>
      <c r="AH4" s="3"/>
    </row>
    <row r="5" spans="1:62" x14ac:dyDescent="0.35">
      <c r="K5" s="3"/>
      <c r="M5" s="3"/>
      <c r="O5" s="3"/>
      <c r="P5" s="3"/>
      <c r="R5" s="3"/>
      <c r="T5" s="3"/>
      <c r="X5" s="3"/>
      <c r="Y5" s="3"/>
      <c r="Z5" s="3"/>
      <c r="AA5" s="3"/>
      <c r="AB5" s="3"/>
      <c r="AC5" s="3"/>
      <c r="AD5" s="3"/>
      <c r="AG5" s="3"/>
      <c r="AH5" s="3"/>
    </row>
    <row r="6" spans="1:62" x14ac:dyDescent="0.35">
      <c r="K6" s="3"/>
      <c r="M6" s="3"/>
      <c r="O6" s="3"/>
      <c r="P6" s="3"/>
      <c r="R6" s="3"/>
      <c r="T6" s="3"/>
      <c r="X6" s="3"/>
      <c r="Y6" s="3"/>
      <c r="Z6" s="3"/>
      <c r="AA6" s="3"/>
      <c r="AB6" s="3"/>
      <c r="AC6" s="3"/>
      <c r="AD6" s="3"/>
    </row>
    <row r="7" spans="1:62" x14ac:dyDescent="0.35">
      <c r="K7" s="3"/>
      <c r="M7" s="3"/>
      <c r="O7" s="3"/>
      <c r="P7" s="3"/>
      <c r="R7" s="3"/>
      <c r="T7" s="3"/>
      <c r="X7" s="3"/>
      <c r="Y7" s="3"/>
      <c r="Z7" s="3"/>
      <c r="AA7" s="3"/>
      <c r="AB7" s="3"/>
      <c r="AC7" s="3"/>
      <c r="AD7" s="3"/>
    </row>
    <row r="8" spans="1:62" x14ac:dyDescent="0.35">
      <c r="K8" s="3"/>
      <c r="M8" s="3"/>
      <c r="O8" s="3"/>
      <c r="P8" s="3"/>
      <c r="T8" s="3"/>
      <c r="X8" s="3"/>
      <c r="Y8" s="3"/>
      <c r="Z8" s="3"/>
      <c r="AA8" s="3"/>
      <c r="AB8" s="3"/>
      <c r="AC8" s="3"/>
      <c r="AD8" s="3"/>
    </row>
    <row r="9" spans="1:62" x14ac:dyDescent="0.35">
      <c r="K9" s="3"/>
      <c r="M9" s="3"/>
      <c r="O9" s="3"/>
      <c r="P9" s="3"/>
      <c r="T9" s="3"/>
      <c r="X9" s="3"/>
      <c r="Y9" s="3"/>
      <c r="Z9" s="3"/>
      <c r="AA9" s="3"/>
      <c r="AB9" s="3"/>
      <c r="AC9" s="3"/>
      <c r="AD9" s="3"/>
    </row>
    <row r="10" spans="1:62" x14ac:dyDescent="0.35">
      <c r="K10" s="3"/>
      <c r="M10" s="3"/>
      <c r="O10" s="3"/>
      <c r="P10" s="3"/>
      <c r="T10" s="3"/>
      <c r="X10" s="3"/>
      <c r="Y10" s="3"/>
      <c r="Z10" s="3"/>
      <c r="AA10" s="3"/>
      <c r="AB10" s="3"/>
      <c r="AC10" s="3"/>
      <c r="AD10" s="3"/>
    </row>
    <row r="11" spans="1:62" x14ac:dyDescent="0.35">
      <c r="K11" s="3"/>
      <c r="M11" s="3"/>
      <c r="O11" s="3"/>
      <c r="P11" s="3"/>
      <c r="T11" s="3"/>
      <c r="X11" s="3"/>
      <c r="Y11" s="3"/>
      <c r="Z11" s="3"/>
      <c r="AA11" s="3"/>
      <c r="AB11" s="3"/>
      <c r="AC11" s="3"/>
      <c r="AD11" s="3"/>
    </row>
    <row r="12" spans="1:62" ht="15.5" x14ac:dyDescent="0.35">
      <c r="K12" s="3"/>
      <c r="M12" s="3"/>
      <c r="O12" s="3"/>
      <c r="P12" s="3"/>
      <c r="X12" s="3"/>
      <c r="Y12" s="3"/>
      <c r="Z12" s="3"/>
      <c r="AA12" s="3"/>
      <c r="AB12" s="3"/>
      <c r="AC12" s="3"/>
      <c r="AD12" s="3"/>
      <c r="AR12" s="1"/>
    </row>
    <row r="13" spans="1:62" ht="15.5" x14ac:dyDescent="0.35">
      <c r="K13" s="3"/>
      <c r="X13" s="3"/>
      <c r="Y13" s="3"/>
      <c r="Z13" s="3"/>
      <c r="AR13" s="1"/>
    </row>
    <row r="14" spans="1:62" ht="15.5" x14ac:dyDescent="0.35">
      <c r="K14" s="3"/>
      <c r="AR14" s="1"/>
    </row>
    <row r="15" spans="1:62" ht="15.5" x14ac:dyDescent="0.35">
      <c r="K15" s="3"/>
      <c r="AR15" s="1"/>
    </row>
    <row r="16" spans="1:62" x14ac:dyDescent="0.35">
      <c r="K16" s="3"/>
    </row>
    <row r="17" spans="11:11" x14ac:dyDescent="0.35">
      <c r="K17" s="3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Check Box 5">
              <controlPr defaultSize="0" autoFill="0" autoLine="0" autoPict="0">
                <anchor moveWithCells="1">
                  <from>
                    <xdr:col>17</xdr:col>
                    <xdr:colOff>101600</xdr:colOff>
                    <xdr:row>2</xdr:row>
                    <xdr:rowOff>387350</xdr:rowOff>
                  </from>
                  <to>
                    <xdr:col>18</xdr:col>
                    <xdr:colOff>38100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17</xdr:col>
                    <xdr:colOff>101600</xdr:colOff>
                    <xdr:row>3</xdr:row>
                    <xdr:rowOff>387350</xdr:rowOff>
                  </from>
                  <to>
                    <xdr:col>18</xdr:col>
                    <xdr:colOff>38100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17</xdr:col>
                    <xdr:colOff>101600</xdr:colOff>
                    <xdr:row>4</xdr:row>
                    <xdr:rowOff>387350</xdr:rowOff>
                  </from>
                  <to>
                    <xdr:col>18</xdr:col>
                    <xdr:colOff>38100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17</xdr:col>
                    <xdr:colOff>101600</xdr:colOff>
                    <xdr:row>5</xdr:row>
                    <xdr:rowOff>387350</xdr:rowOff>
                  </from>
                  <to>
                    <xdr:col>18</xdr:col>
                    <xdr:colOff>38100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7" name="Check Box 16">
              <controlPr defaultSize="0" autoFill="0" autoLine="0" autoPict="0">
                <anchor moveWithCells="1">
                  <from>
                    <xdr:col>19</xdr:col>
                    <xdr:colOff>76200</xdr:colOff>
                    <xdr:row>2</xdr:row>
                    <xdr:rowOff>381000</xdr:rowOff>
                  </from>
                  <to>
                    <xdr:col>20</xdr:col>
                    <xdr:colOff>336550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8" name="Check Box 17">
              <controlPr defaultSize="0" autoFill="0" autoLine="0" autoPict="0">
                <anchor moveWithCells="1">
                  <from>
                    <xdr:col>19</xdr:col>
                    <xdr:colOff>76200</xdr:colOff>
                    <xdr:row>3</xdr:row>
                    <xdr:rowOff>381000</xdr:rowOff>
                  </from>
                  <to>
                    <xdr:col>20</xdr:col>
                    <xdr:colOff>336550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9" name="Check Box 18">
              <controlPr defaultSize="0" autoFill="0" autoLine="0" autoPict="0">
                <anchor moveWithCells="1">
                  <from>
                    <xdr:col>19</xdr:col>
                    <xdr:colOff>76200</xdr:colOff>
                    <xdr:row>4</xdr:row>
                    <xdr:rowOff>381000</xdr:rowOff>
                  </from>
                  <to>
                    <xdr:col>20</xdr:col>
                    <xdr:colOff>336550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0" name="Check Box 19">
              <controlPr defaultSize="0" autoFill="0" autoLine="0" autoPict="0">
                <anchor moveWithCells="1">
                  <from>
                    <xdr:col>19</xdr:col>
                    <xdr:colOff>76200</xdr:colOff>
                    <xdr:row>5</xdr:row>
                    <xdr:rowOff>381000</xdr:rowOff>
                  </from>
                  <to>
                    <xdr:col>20</xdr:col>
                    <xdr:colOff>336550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1" name="Check Box 20">
              <controlPr defaultSize="0" autoFill="0" autoLine="0" autoPict="0">
                <anchor moveWithCells="1">
                  <from>
                    <xdr:col>19</xdr:col>
                    <xdr:colOff>76200</xdr:colOff>
                    <xdr:row>6</xdr:row>
                    <xdr:rowOff>381000</xdr:rowOff>
                  </from>
                  <to>
                    <xdr:col>20</xdr:col>
                    <xdr:colOff>336550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2" name="Check Box 21">
              <controlPr defaultSize="0" autoFill="0" autoLine="0" autoPict="0">
                <anchor moveWithCells="1">
                  <from>
                    <xdr:col>19</xdr:col>
                    <xdr:colOff>76200</xdr:colOff>
                    <xdr:row>7</xdr:row>
                    <xdr:rowOff>381000</xdr:rowOff>
                  </from>
                  <to>
                    <xdr:col>20</xdr:col>
                    <xdr:colOff>336550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Check Box 22">
              <controlPr defaultSize="0" autoFill="0" autoLine="0" autoPict="0">
                <anchor moveWithCells="1">
                  <from>
                    <xdr:col>19</xdr:col>
                    <xdr:colOff>76200</xdr:colOff>
                    <xdr:row>8</xdr:row>
                    <xdr:rowOff>381000</xdr:rowOff>
                  </from>
                  <to>
                    <xdr:col>20</xdr:col>
                    <xdr:colOff>336550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Check Box 23">
              <controlPr defaultSize="0" autoFill="0" autoLine="0" autoPict="0">
                <anchor moveWithCells="1">
                  <from>
                    <xdr:col>19</xdr:col>
                    <xdr:colOff>76200</xdr:colOff>
                    <xdr:row>9</xdr:row>
                    <xdr:rowOff>381000</xdr:rowOff>
                  </from>
                  <to>
                    <xdr:col>20</xdr:col>
                    <xdr:colOff>336550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5" name="Check Box 29">
              <controlPr defaultSize="0" autoFill="0" autoLine="0" autoPict="0">
                <anchor moveWithCells="1">
                  <from>
                    <xdr:col>17</xdr:col>
                    <xdr:colOff>101600</xdr:colOff>
                    <xdr:row>1</xdr:row>
                    <xdr:rowOff>768350</xdr:rowOff>
                  </from>
                  <to>
                    <xdr:col>18</xdr:col>
                    <xdr:colOff>31750</xdr:colOff>
                    <xdr:row>3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6" name="Check Box 30">
              <controlPr defaultSize="0" autoFill="0" autoLine="0" autoPict="0">
                <anchor moveWithCells="1">
                  <from>
                    <xdr:col>19</xdr:col>
                    <xdr:colOff>76200</xdr:colOff>
                    <xdr:row>2</xdr:row>
                    <xdr:rowOff>0</xdr:rowOff>
                  </from>
                  <to>
                    <xdr:col>20</xdr:col>
                    <xdr:colOff>336550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7" name="Check Box 40">
              <controlPr defaultSize="0" autoFill="0" autoLine="0" autoPict="0">
                <anchor moveWithCells="1">
                  <from>
                    <xdr:col>17</xdr:col>
                    <xdr:colOff>101600</xdr:colOff>
                    <xdr:row>16</xdr:row>
                    <xdr:rowOff>387350</xdr:rowOff>
                  </from>
                  <to>
                    <xdr:col>18</xdr:col>
                    <xdr:colOff>38100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8" name="Check Box 41">
              <controlPr defaultSize="0" autoFill="0" autoLine="0" autoPict="0">
                <anchor moveWithCells="1">
                  <from>
                    <xdr:col>17</xdr:col>
                    <xdr:colOff>101600</xdr:colOff>
                    <xdr:row>17</xdr:row>
                    <xdr:rowOff>387350</xdr:rowOff>
                  </from>
                  <to>
                    <xdr:col>18</xdr:col>
                    <xdr:colOff>38100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9" name="Check Box 42">
              <controlPr defaultSize="0" autoFill="0" autoLine="0" autoPict="0">
                <anchor moveWithCells="1">
                  <from>
                    <xdr:col>17</xdr:col>
                    <xdr:colOff>101600</xdr:colOff>
                    <xdr:row>15</xdr:row>
                    <xdr:rowOff>768350</xdr:rowOff>
                  </from>
                  <to>
                    <xdr:col>18</xdr:col>
                    <xdr:colOff>25400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0" name="Check Box 45">
              <controlPr defaultSize="0" autoFill="0" autoLine="0" autoPict="0">
                <anchor moveWithCells="1">
                  <from>
                    <xdr:col>17</xdr:col>
                    <xdr:colOff>101600</xdr:colOff>
                    <xdr:row>18</xdr:row>
                    <xdr:rowOff>387350</xdr:rowOff>
                  </from>
                  <to>
                    <xdr:col>18</xdr:col>
                    <xdr:colOff>38100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1" name="Check Box 46">
              <controlPr defaultSize="0" autoFill="0" autoLine="0" autoPict="0">
                <anchor moveWithCells="1">
                  <from>
                    <xdr:col>17</xdr:col>
                    <xdr:colOff>101600</xdr:colOff>
                    <xdr:row>19</xdr:row>
                    <xdr:rowOff>387350</xdr:rowOff>
                  </from>
                  <to>
                    <xdr:col>18</xdr:col>
                    <xdr:colOff>38100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2" name="Check Box 47">
              <controlPr defaultSize="0" autoFill="0" autoLine="0" autoPict="0">
                <anchor moveWithCells="1">
                  <from>
                    <xdr:col>19</xdr:col>
                    <xdr:colOff>76200</xdr:colOff>
                    <xdr:row>16</xdr:row>
                    <xdr:rowOff>381000</xdr:rowOff>
                  </from>
                  <to>
                    <xdr:col>20</xdr:col>
                    <xdr:colOff>330200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3" name="Check Box 48">
              <controlPr defaultSize="0" autoFill="0" autoLine="0" autoPict="0">
                <anchor moveWithCells="1">
                  <from>
                    <xdr:col>19</xdr:col>
                    <xdr:colOff>76200</xdr:colOff>
                    <xdr:row>17</xdr:row>
                    <xdr:rowOff>381000</xdr:rowOff>
                  </from>
                  <to>
                    <xdr:col>20</xdr:col>
                    <xdr:colOff>330200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4" name="Check Box 49">
              <controlPr defaultSize="0" autoFill="0" autoLine="0" autoPict="0">
                <anchor moveWithCells="1">
                  <from>
                    <xdr:col>19</xdr:col>
                    <xdr:colOff>76200</xdr:colOff>
                    <xdr:row>16</xdr:row>
                    <xdr:rowOff>0</xdr:rowOff>
                  </from>
                  <to>
                    <xdr:col>20</xdr:col>
                    <xdr:colOff>330200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25" name="Check Box 50">
              <controlPr defaultSize="0" autoFill="0" autoLine="0" autoPict="0">
                <anchor moveWithCells="1">
                  <from>
                    <xdr:col>20</xdr:col>
                    <xdr:colOff>76200</xdr:colOff>
                    <xdr:row>15</xdr:row>
                    <xdr:rowOff>381000</xdr:rowOff>
                  </from>
                  <to>
                    <xdr:col>21</xdr:col>
                    <xdr:colOff>368300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26" name="Check Box 51">
              <controlPr defaultSize="0" autoFill="0" autoLine="0" autoPict="0">
                <anchor moveWithCells="1">
                  <from>
                    <xdr:col>20</xdr:col>
                    <xdr:colOff>76200</xdr:colOff>
                    <xdr:row>16</xdr:row>
                    <xdr:rowOff>381000</xdr:rowOff>
                  </from>
                  <to>
                    <xdr:col>21</xdr:col>
                    <xdr:colOff>368300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27" name="Check Box 52">
              <controlPr defaultSize="0" autoFill="0" autoLine="0" autoPict="0">
                <anchor moveWithCells="1">
                  <from>
                    <xdr:col>20</xdr:col>
                    <xdr:colOff>76200</xdr:colOff>
                    <xdr:row>17</xdr:row>
                    <xdr:rowOff>381000</xdr:rowOff>
                  </from>
                  <to>
                    <xdr:col>21</xdr:col>
                    <xdr:colOff>368300</xdr:colOff>
                    <xdr:row>19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8" name="Check Box 53">
              <controlPr defaultSize="0" autoFill="0" autoLine="0" autoPict="0">
                <anchor moveWithCells="1">
                  <from>
                    <xdr:col>21</xdr:col>
                    <xdr:colOff>76200</xdr:colOff>
                    <xdr:row>15</xdr:row>
                    <xdr:rowOff>381000</xdr:rowOff>
                  </from>
                  <to>
                    <xdr:col>22</xdr:col>
                    <xdr:colOff>635000</xdr:colOff>
                    <xdr:row>17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9" name="Check Box 54">
              <controlPr defaultSize="0" autoFill="0" autoLine="0" autoPict="0">
                <anchor moveWithCells="1">
                  <from>
                    <xdr:col>21</xdr:col>
                    <xdr:colOff>76200</xdr:colOff>
                    <xdr:row>16</xdr:row>
                    <xdr:rowOff>381000</xdr:rowOff>
                  </from>
                  <to>
                    <xdr:col>22</xdr:col>
                    <xdr:colOff>635000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0" name="Check Box 55">
              <controlPr defaultSize="0" autoFill="0" autoLine="0" autoPict="0">
                <anchor moveWithCells="1">
                  <from>
                    <xdr:col>21</xdr:col>
                    <xdr:colOff>76200</xdr:colOff>
                    <xdr:row>17</xdr:row>
                    <xdr:rowOff>381000</xdr:rowOff>
                  </from>
                  <to>
                    <xdr:col>22</xdr:col>
                    <xdr:colOff>635000</xdr:colOff>
                    <xdr:row>19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3B8E47B1-8C48-428B-9D26-D90A9CE76460}">
          <x14:formula1>
            <xm:f>LIST!$B$5:$B$55</xm:f>
          </x14:formula1>
          <xm:sqref>M3:M12</xm:sqref>
        </x14:dataValidation>
        <x14:dataValidation type="list" allowBlank="1" showInputMessage="1" showErrorMessage="1" xr:uid="{8645ECCF-F353-48AF-AF58-F81016BD8B1D}">
          <x14:formula1>
            <xm:f>LIST!$R$4:$R$18</xm:f>
          </x14:formula1>
          <xm:sqref>B3</xm:sqref>
        </x14:dataValidation>
        <x14:dataValidation type="list" allowBlank="1" showInputMessage="1" showErrorMessage="1" xr:uid="{614C35DD-7D7B-4FC6-958F-382F3808324B}">
          <x14:formula1>
            <xm:f>LIST!$D$5:$D$36</xm:f>
          </x14:formula1>
          <xm:sqref>O3:O12</xm:sqref>
        </x14:dataValidation>
        <x14:dataValidation type="list" allowBlank="1" showInputMessage="1" showErrorMessage="1" xr:uid="{5AA8A361-39E9-4867-9827-EF6CBC5E3623}">
          <x14:formula1>
            <xm:f>LIST!$E$5:$E$13</xm:f>
          </x14:formula1>
          <xm:sqref>P3:P12</xm:sqref>
        </x14:dataValidation>
        <x14:dataValidation type="list" allowBlank="1" showInputMessage="1" showErrorMessage="1" xr:uid="{92F2C2E1-13CC-4E7E-9352-BF90FC7AA8DC}">
          <x14:formula1>
            <xm:f>LIST!$J$4:$J$6</xm:f>
          </x14:formula1>
          <xm:sqref>AL3:AO3</xm:sqref>
        </x14:dataValidation>
        <x14:dataValidation type="list" allowBlank="1" showInputMessage="1" showErrorMessage="1" xr:uid="{A3B06404-75D8-4E6F-9890-EBFA9E6A4FF3}">
          <x14:formula1>
            <xm:f>LIST!$G$17:$G$22</xm:f>
          </x14:formula1>
          <xm:sqref>AP3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F81D-42AC-42EC-86B8-62E51909804D}">
  <sheetPr>
    <tabColor rgb="FF92D050"/>
    <pageSetUpPr fitToPage="1"/>
  </sheetPr>
  <dimension ref="A1:AT59"/>
  <sheetViews>
    <sheetView view="pageBreakPreview" topLeftCell="A43" zoomScale="145" zoomScaleNormal="145" zoomScaleSheetLayoutView="145" workbookViewId="0">
      <selection activeCell="A55" sqref="A55:C55"/>
    </sheetView>
  </sheetViews>
  <sheetFormatPr defaultColWidth="2.54296875" defaultRowHeight="18" customHeight="1" x14ac:dyDescent="0.35"/>
  <cols>
    <col min="1" max="4" width="2.54296875" style="21"/>
    <col min="5" max="5" width="6.1796875" style="21" customWidth="1"/>
    <col min="6" max="13" width="2.54296875" style="21"/>
    <col min="14" max="14" width="2.54296875" style="21" customWidth="1"/>
    <col min="15" max="15" width="3.6328125" style="21" customWidth="1"/>
    <col min="16" max="16" width="1.453125" style="21" customWidth="1"/>
    <col min="17" max="21" width="2.54296875" style="21"/>
    <col min="22" max="22" width="3.26953125" style="21" customWidth="1"/>
    <col min="23" max="24" width="2.7265625" style="21" customWidth="1"/>
    <col min="25" max="26" width="3.26953125" style="21" customWidth="1"/>
    <col min="27" max="27" width="2.7265625" style="21" customWidth="1"/>
    <col min="28" max="28" width="3" style="21" customWidth="1"/>
    <col min="29" max="35" width="2.54296875" style="21"/>
    <col min="36" max="36" width="3.453125" style="21" customWidth="1"/>
    <col min="37" max="37" width="2.54296875" style="21"/>
    <col min="38" max="38" width="3.26953125" style="21" customWidth="1"/>
    <col min="39" max="40" width="2.54296875" style="21"/>
    <col min="41" max="41" width="3.1796875" style="21" customWidth="1"/>
    <col min="42" max="42" width="2.54296875" style="21"/>
    <col min="43" max="43" width="4.6328125" style="21" customWidth="1"/>
    <col min="44" max="44" width="4.7265625" style="21" customWidth="1"/>
    <col min="45" max="46" width="3.54296875" style="21" customWidth="1"/>
    <col min="47" max="16384" width="2.54296875" style="21"/>
  </cols>
  <sheetData>
    <row r="1" spans="1:46" ht="18" customHeight="1" x14ac:dyDescent="0.35">
      <c r="A1" s="15"/>
      <c r="B1" s="16"/>
      <c r="C1" s="16"/>
      <c r="D1" s="16"/>
      <c r="E1" s="16"/>
      <c r="F1" s="16"/>
      <c r="G1" s="16"/>
      <c r="H1" s="16"/>
      <c r="I1" s="17"/>
      <c r="J1" s="484" t="s">
        <v>244</v>
      </c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6"/>
      <c r="AK1" s="18" t="s">
        <v>245</v>
      </c>
      <c r="AL1" s="18"/>
      <c r="AM1" s="19" t="s">
        <v>246</v>
      </c>
      <c r="AN1" s="18" t="s">
        <v>247</v>
      </c>
      <c r="AO1" s="18"/>
      <c r="AP1" s="18"/>
      <c r="AQ1" s="18"/>
      <c r="AR1" s="18"/>
      <c r="AS1" s="18"/>
      <c r="AT1" s="20"/>
    </row>
    <row r="2" spans="1:46" ht="18" customHeight="1" x14ac:dyDescent="0.35">
      <c r="A2" s="22"/>
      <c r="I2" s="23"/>
      <c r="J2" s="487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9"/>
      <c r="AK2" s="24" t="s">
        <v>248</v>
      </c>
      <c r="AL2" s="24"/>
      <c r="AM2" s="25" t="s">
        <v>246</v>
      </c>
      <c r="AN2" s="26">
        <v>3</v>
      </c>
      <c r="AO2" s="27"/>
      <c r="AP2" s="24"/>
      <c r="AQ2" s="24"/>
      <c r="AR2" s="24"/>
      <c r="AS2" s="24"/>
      <c r="AT2" s="28"/>
    </row>
    <row r="3" spans="1:46" ht="18" customHeight="1" x14ac:dyDescent="0.35">
      <c r="A3" s="22"/>
      <c r="I3" s="23"/>
      <c r="J3" s="490" t="s">
        <v>249</v>
      </c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2"/>
      <c r="AK3" s="24" t="s">
        <v>250</v>
      </c>
      <c r="AL3" s="24"/>
      <c r="AM3" s="25" t="s">
        <v>246</v>
      </c>
      <c r="AN3" s="29" t="s">
        <v>251</v>
      </c>
      <c r="AO3" s="27"/>
      <c r="AP3" s="24"/>
      <c r="AQ3" s="24"/>
      <c r="AR3" s="24"/>
      <c r="AS3" s="24"/>
      <c r="AT3" s="28"/>
    </row>
    <row r="4" spans="1:46" ht="18" customHeight="1" thickBot="1" x14ac:dyDescent="0.4">
      <c r="A4" s="30"/>
      <c r="B4" s="481"/>
      <c r="C4" s="481"/>
      <c r="D4" s="481"/>
      <c r="E4" s="481"/>
      <c r="F4" s="481"/>
      <c r="G4" s="481"/>
      <c r="H4" s="481"/>
      <c r="I4" s="31"/>
      <c r="J4" s="493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5"/>
      <c r="AK4" s="32" t="s">
        <v>252</v>
      </c>
      <c r="AL4" s="32"/>
      <c r="AM4" s="33" t="s">
        <v>246</v>
      </c>
      <c r="AN4" s="32"/>
      <c r="AO4" s="32"/>
      <c r="AP4" s="32" t="s">
        <v>253</v>
      </c>
      <c r="AQ4" s="32"/>
      <c r="AR4" s="32"/>
      <c r="AS4" s="32"/>
      <c r="AT4" s="34"/>
    </row>
    <row r="5" spans="1:46" s="24" customFormat="1" ht="20.149999999999999" customHeight="1" x14ac:dyDescent="0.35">
      <c r="A5" s="752" t="s">
        <v>30</v>
      </c>
      <c r="B5" s="524"/>
      <c r="C5" s="524"/>
      <c r="D5" s="524"/>
      <c r="E5" s="523" t="s">
        <v>29</v>
      </c>
      <c r="F5" s="524"/>
      <c r="G5" s="524"/>
      <c r="H5" s="524"/>
      <c r="I5" s="524"/>
      <c r="J5" s="753" t="s">
        <v>28</v>
      </c>
      <c r="K5" s="754"/>
      <c r="L5" s="754"/>
      <c r="M5" s="755"/>
      <c r="N5" s="758">
        <f>'ISI DATA'!D3</f>
        <v>0</v>
      </c>
      <c r="O5" s="759"/>
      <c r="P5" s="759"/>
      <c r="Q5" s="759"/>
      <c r="R5" s="759"/>
      <c r="S5" s="759"/>
      <c r="T5" s="759"/>
      <c r="U5" s="760"/>
      <c r="V5" s="753" t="s">
        <v>27</v>
      </c>
      <c r="W5" s="754"/>
      <c r="X5" s="754"/>
      <c r="Y5" s="754"/>
      <c r="Z5" s="755"/>
      <c r="AA5" s="764">
        <f>'ISI DATA'!E3</f>
        <v>0</v>
      </c>
      <c r="AB5" s="765"/>
      <c r="AC5" s="765"/>
      <c r="AD5" s="765"/>
      <c r="AE5" s="765"/>
      <c r="AF5" s="765"/>
      <c r="AG5" s="765"/>
      <c r="AH5" s="765"/>
      <c r="AI5" s="765"/>
      <c r="AJ5" s="765"/>
      <c r="AK5" s="765"/>
      <c r="AL5" s="765"/>
      <c r="AM5" s="765"/>
      <c r="AN5" s="766"/>
      <c r="AO5" s="523" t="s">
        <v>26</v>
      </c>
      <c r="AP5" s="524"/>
      <c r="AQ5" s="524"/>
      <c r="AR5" s="524"/>
      <c r="AS5" s="524"/>
      <c r="AT5" s="751"/>
    </row>
    <row r="6" spans="1:46" s="24" customFormat="1" ht="20.149999999999999" customHeight="1" x14ac:dyDescent="0.35">
      <c r="A6" s="780">
        <f>'ISI DATA'!B3</f>
        <v>0</v>
      </c>
      <c r="B6" s="781"/>
      <c r="C6" s="781"/>
      <c r="D6" s="781"/>
      <c r="E6" s="782">
        <f>'ISI DATA'!C3</f>
        <v>0</v>
      </c>
      <c r="F6" s="783"/>
      <c r="G6" s="783"/>
      <c r="H6" s="783"/>
      <c r="I6" s="784"/>
      <c r="J6" s="756"/>
      <c r="K6" s="732"/>
      <c r="L6" s="732"/>
      <c r="M6" s="757"/>
      <c r="N6" s="761"/>
      <c r="O6" s="762"/>
      <c r="P6" s="762"/>
      <c r="Q6" s="762"/>
      <c r="R6" s="762"/>
      <c r="S6" s="762"/>
      <c r="T6" s="762"/>
      <c r="U6" s="763"/>
      <c r="V6" s="756"/>
      <c r="W6" s="732"/>
      <c r="X6" s="732"/>
      <c r="Y6" s="732"/>
      <c r="Z6" s="757"/>
      <c r="AA6" s="767"/>
      <c r="AB6" s="580"/>
      <c r="AC6" s="580"/>
      <c r="AD6" s="580"/>
      <c r="AE6" s="580"/>
      <c r="AF6" s="580"/>
      <c r="AG6" s="580"/>
      <c r="AH6" s="580"/>
      <c r="AI6" s="580"/>
      <c r="AJ6" s="580"/>
      <c r="AK6" s="580"/>
      <c r="AL6" s="580"/>
      <c r="AM6" s="580"/>
      <c r="AN6" s="581"/>
      <c r="AO6" s="785">
        <f>'ISI DATA'!F3</f>
        <v>0</v>
      </c>
      <c r="AP6" s="786"/>
      <c r="AQ6" s="786"/>
      <c r="AR6" s="786"/>
      <c r="AS6" s="786"/>
      <c r="AT6" s="787"/>
    </row>
    <row r="7" spans="1:46" s="24" customFormat="1" ht="20.149999999999999" customHeight="1" x14ac:dyDescent="0.3">
      <c r="A7" s="539" t="s">
        <v>254</v>
      </c>
      <c r="B7" s="540"/>
      <c r="C7" s="540"/>
      <c r="D7" s="540"/>
      <c r="E7" s="540"/>
      <c r="F7" s="540"/>
      <c r="G7" s="540"/>
      <c r="H7" s="540"/>
      <c r="I7" s="540"/>
      <c r="J7" s="715" t="s">
        <v>255</v>
      </c>
      <c r="K7" s="664"/>
      <c r="L7" s="664"/>
      <c r="M7" s="716"/>
      <c r="N7" s="768">
        <f>'ISI DATA'!G3</f>
        <v>0</v>
      </c>
      <c r="O7" s="769"/>
      <c r="P7" s="769"/>
      <c r="Q7" s="769"/>
      <c r="R7" s="769"/>
      <c r="S7" s="769"/>
      <c r="T7" s="769"/>
      <c r="U7" s="770"/>
      <c r="V7" s="788" t="s">
        <v>23</v>
      </c>
      <c r="W7" s="789"/>
      <c r="X7" s="789"/>
      <c r="Y7" s="789"/>
      <c r="Z7" s="790"/>
      <c r="AA7" s="833">
        <f>'ISI DATA'!I3</f>
        <v>0</v>
      </c>
      <c r="AB7" s="834"/>
      <c r="AC7" s="834"/>
      <c r="AD7" s="834"/>
      <c r="AE7" s="834"/>
      <c r="AF7" s="834"/>
      <c r="AG7" s="834"/>
      <c r="AH7" s="835"/>
      <c r="AI7" s="794" t="s">
        <v>256</v>
      </c>
      <c r="AJ7" s="795"/>
      <c r="AK7" s="795"/>
      <c r="AL7" s="795"/>
      <c r="AM7" s="795"/>
      <c r="AN7" s="796"/>
      <c r="AO7" s="774">
        <f>'ISI DATA'!L3</f>
        <v>0</v>
      </c>
      <c r="AP7" s="775"/>
      <c r="AQ7" s="775"/>
      <c r="AR7" s="775"/>
      <c r="AS7" s="775"/>
      <c r="AT7" s="776"/>
    </row>
    <row r="8" spans="1:46" s="24" customFormat="1" ht="20.149999999999999" customHeight="1" x14ac:dyDescent="0.35">
      <c r="A8" s="545"/>
      <c r="B8" s="546"/>
      <c r="C8" s="546"/>
      <c r="D8" s="546"/>
      <c r="E8" s="546"/>
      <c r="F8" s="546"/>
      <c r="G8" s="546"/>
      <c r="H8" s="546"/>
      <c r="I8" s="546"/>
      <c r="J8" s="715" t="s">
        <v>257</v>
      </c>
      <c r="K8" s="664"/>
      <c r="L8" s="664"/>
      <c r="M8" s="716"/>
      <c r="N8" s="768">
        <f>'ISI DATA'!H3</f>
        <v>0</v>
      </c>
      <c r="O8" s="769"/>
      <c r="P8" s="769"/>
      <c r="Q8" s="769"/>
      <c r="R8" s="769"/>
      <c r="S8" s="769"/>
      <c r="T8" s="769"/>
      <c r="U8" s="770"/>
      <c r="V8" s="791"/>
      <c r="W8" s="792"/>
      <c r="X8" s="792"/>
      <c r="Y8" s="792"/>
      <c r="Z8" s="793"/>
      <c r="AA8" s="836"/>
      <c r="AB8" s="837"/>
      <c r="AC8" s="837"/>
      <c r="AD8" s="837"/>
      <c r="AE8" s="837"/>
      <c r="AF8" s="837"/>
      <c r="AG8" s="837"/>
      <c r="AH8" s="838"/>
      <c r="AI8" s="771" t="s">
        <v>258</v>
      </c>
      <c r="AJ8" s="772"/>
      <c r="AK8" s="772"/>
      <c r="AL8" s="772"/>
      <c r="AM8" s="772"/>
      <c r="AN8" s="773"/>
      <c r="AO8" s="777"/>
      <c r="AP8" s="778"/>
      <c r="AQ8" s="778"/>
      <c r="AR8" s="778"/>
      <c r="AS8" s="778"/>
      <c r="AT8" s="779"/>
    </row>
    <row r="9" spans="1:46" s="24" customFormat="1" ht="20.149999999999999" customHeight="1" x14ac:dyDescent="0.35">
      <c r="A9" s="539" t="s">
        <v>22</v>
      </c>
      <c r="B9" s="540"/>
      <c r="C9" s="540"/>
      <c r="D9" s="540"/>
      <c r="E9" s="540"/>
      <c r="F9" s="540"/>
      <c r="G9" s="540"/>
      <c r="H9" s="540"/>
      <c r="I9" s="540"/>
      <c r="J9" s="540"/>
      <c r="K9" s="540"/>
      <c r="L9" s="540"/>
      <c r="M9" s="541"/>
      <c r="N9" s="797">
        <f>'ISI DATA'!J3</f>
        <v>0</v>
      </c>
      <c r="O9" s="798"/>
      <c r="P9" s="798"/>
      <c r="Q9" s="798"/>
      <c r="R9" s="798"/>
      <c r="S9" s="798"/>
      <c r="T9" s="798"/>
      <c r="U9" s="798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40"/>
    </row>
    <row r="10" spans="1:46" s="24" customFormat="1" ht="24" customHeight="1" x14ac:dyDescent="0.35">
      <c r="A10" s="545"/>
      <c r="B10" s="546"/>
      <c r="C10" s="546"/>
      <c r="D10" s="546"/>
      <c r="E10" s="546"/>
      <c r="F10" s="546"/>
      <c r="G10" s="546"/>
      <c r="H10" s="546"/>
      <c r="I10" s="546"/>
      <c r="J10" s="546"/>
      <c r="K10" s="546"/>
      <c r="L10" s="546"/>
      <c r="M10" s="547"/>
      <c r="N10" s="41" t="s">
        <v>259</v>
      </c>
      <c r="O10" s="42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43"/>
    </row>
    <row r="11" spans="1:46" s="24" customFormat="1" ht="18" customHeight="1" x14ac:dyDescent="0.35">
      <c r="A11" s="576" t="s">
        <v>20</v>
      </c>
      <c r="B11" s="540"/>
      <c r="C11" s="540"/>
      <c r="D11" s="540"/>
      <c r="E11" s="540"/>
      <c r="F11" s="540"/>
      <c r="G11" s="540"/>
      <c r="H11" s="540"/>
      <c r="I11" s="540"/>
      <c r="J11" s="540"/>
      <c r="K11" s="540"/>
      <c r="L11" s="540"/>
      <c r="M11" s="541"/>
      <c r="N11" s="44"/>
      <c r="O11" s="801" t="str">
        <f>IF('ISI DATA'!M3="", "", IF('ISI DATA'!M3=0, "", 'ISI DATA'!M3))</f>
        <v/>
      </c>
      <c r="P11" s="801"/>
      <c r="Q11" s="801"/>
      <c r="R11" s="801"/>
      <c r="S11" s="801"/>
      <c r="T11" s="801"/>
      <c r="U11" s="801"/>
      <c r="V11" s="801"/>
      <c r="W11" s="801"/>
      <c r="X11" s="45"/>
      <c r="Y11" s="45"/>
      <c r="Z11" s="801" t="str">
        <f>IF('ISI DATA'!M6="", "", IF('ISI DATA'!M6=0, "", 'ISI DATA'!M6))</f>
        <v/>
      </c>
      <c r="AA11" s="801"/>
      <c r="AB11" s="801"/>
      <c r="AC11" s="801"/>
      <c r="AD11" s="801"/>
      <c r="AE11" s="801"/>
      <c r="AF11" s="801"/>
      <c r="AG11" s="801"/>
      <c r="AH11" s="801"/>
      <c r="AI11" s="45"/>
      <c r="AJ11" s="45"/>
      <c r="AL11" s="105" t="s">
        <v>260</v>
      </c>
      <c r="AT11" s="46"/>
    </row>
    <row r="12" spans="1:46" s="24" customFormat="1" ht="18" customHeight="1" x14ac:dyDescent="0.35">
      <c r="A12" s="800"/>
      <c r="B12" s="543"/>
      <c r="C12" s="543"/>
      <c r="D12" s="543"/>
      <c r="E12" s="543"/>
      <c r="F12" s="543"/>
      <c r="G12" s="543"/>
      <c r="H12" s="543"/>
      <c r="I12" s="543"/>
      <c r="J12" s="543"/>
      <c r="K12" s="543"/>
      <c r="L12" s="543"/>
      <c r="M12" s="544"/>
      <c r="N12" s="47"/>
      <c r="O12" s="802" t="str">
        <f>IF('ISI DATA'!M4="", "", IF('ISI DATA'!M4=0, "", 'ISI DATA'!M4))</f>
        <v/>
      </c>
      <c r="P12" s="802"/>
      <c r="Q12" s="802"/>
      <c r="R12" s="802"/>
      <c r="S12" s="802"/>
      <c r="T12" s="802"/>
      <c r="U12" s="802"/>
      <c r="V12" s="802"/>
      <c r="W12" s="802"/>
      <c r="Z12" s="802" t="str">
        <f>IF('ISI DATA'!M7="", "", IF('ISI DATA'!M7=0, "", 'ISI DATA'!M7))</f>
        <v/>
      </c>
      <c r="AA12" s="802"/>
      <c r="AB12" s="802"/>
      <c r="AC12" s="802"/>
      <c r="AD12" s="802"/>
      <c r="AE12" s="802"/>
      <c r="AF12" s="802"/>
      <c r="AG12" s="802"/>
      <c r="AH12" s="802"/>
      <c r="AL12" s="730" t="str">
        <f>IF('ISI DATA'!N3="", "", IF('ISI DATA'!N3=0, "", 'ISI DATA'!N3))</f>
        <v/>
      </c>
      <c r="AM12" s="730"/>
      <c r="AN12" s="730"/>
      <c r="AO12" s="730"/>
      <c r="AP12" s="730"/>
      <c r="AQ12" s="730"/>
      <c r="AR12" s="730"/>
      <c r="AS12" s="730"/>
      <c r="AT12" s="731"/>
    </row>
    <row r="13" spans="1:46" s="24" customFormat="1" ht="18" customHeight="1" x14ac:dyDescent="0.35">
      <c r="A13" s="545"/>
      <c r="B13" s="546"/>
      <c r="C13" s="546"/>
      <c r="D13" s="546"/>
      <c r="E13" s="546"/>
      <c r="F13" s="546"/>
      <c r="G13" s="546"/>
      <c r="H13" s="546"/>
      <c r="I13" s="546"/>
      <c r="J13" s="546"/>
      <c r="K13" s="546"/>
      <c r="L13" s="546"/>
      <c r="M13" s="547"/>
      <c r="N13" s="48"/>
      <c r="O13" s="802" t="str">
        <f>IF('ISI DATA'!M5="", "", IF('ISI DATA'!M5=0, "", 'ISI DATA'!M5))</f>
        <v/>
      </c>
      <c r="P13" s="802"/>
      <c r="Q13" s="802"/>
      <c r="R13" s="802"/>
      <c r="S13" s="802"/>
      <c r="T13" s="802"/>
      <c r="U13" s="802"/>
      <c r="V13" s="802"/>
      <c r="W13" s="802"/>
      <c r="X13" s="36"/>
      <c r="Y13" s="36"/>
      <c r="Z13" s="803" t="str">
        <f>IF('ISI DATA'!M8="", "", IF('ISI DATA'!M8=0, "", 'ISI DATA'!M8))</f>
        <v/>
      </c>
      <c r="AA13" s="803"/>
      <c r="AB13" s="803"/>
      <c r="AC13" s="803"/>
      <c r="AD13" s="803"/>
      <c r="AE13" s="803"/>
      <c r="AF13" s="803"/>
      <c r="AG13" s="803"/>
      <c r="AH13" s="803"/>
      <c r="AI13" s="36"/>
      <c r="AJ13" s="36"/>
      <c r="AL13" s="732"/>
      <c r="AM13" s="732"/>
      <c r="AN13" s="732"/>
      <c r="AO13" s="732"/>
      <c r="AP13" s="732"/>
      <c r="AQ13" s="732"/>
      <c r="AR13" s="732"/>
      <c r="AS13" s="732"/>
      <c r="AT13" s="733"/>
    </row>
    <row r="14" spans="1:46" s="24" customFormat="1" ht="18" customHeight="1" x14ac:dyDescent="0.35">
      <c r="A14" s="576" t="s">
        <v>19</v>
      </c>
      <c r="B14" s="540"/>
      <c r="C14" s="540"/>
      <c r="D14" s="540"/>
      <c r="E14" s="540"/>
      <c r="F14" s="540"/>
      <c r="G14" s="540"/>
      <c r="H14" s="540"/>
      <c r="I14" s="540"/>
      <c r="J14" s="540"/>
      <c r="K14" s="540"/>
      <c r="L14" s="540"/>
      <c r="M14" s="541"/>
      <c r="N14" s="38" t="s">
        <v>261</v>
      </c>
      <c r="O14" s="45"/>
      <c r="P14" s="789" t="str">
        <f>IF('ISI DATA'!O3="", "", IF('ISI DATA'!O3=0, "", 'ISI DATA'!O3))</f>
        <v/>
      </c>
      <c r="Q14" s="789"/>
      <c r="R14" s="789"/>
      <c r="S14" s="789"/>
      <c r="T14" s="789"/>
      <c r="U14" s="789"/>
      <c r="V14" s="45"/>
      <c r="W14" s="45"/>
      <c r="X14" s="45"/>
      <c r="Y14" s="45" t="s">
        <v>262</v>
      </c>
      <c r="Z14" s="45"/>
      <c r="AA14" s="540" t="str">
        <f>IF('ISI DATA'!P3=0, "", 'ISI DATA'!P3)</f>
        <v/>
      </c>
      <c r="AB14" s="540"/>
      <c r="AC14" s="540"/>
      <c r="AD14" s="540"/>
      <c r="AE14" s="540"/>
      <c r="AF14" s="540"/>
      <c r="AG14" s="540"/>
      <c r="AH14" s="45"/>
      <c r="AI14" s="45"/>
      <c r="AJ14" s="45"/>
      <c r="AK14" s="45"/>
      <c r="AL14" s="105" t="s">
        <v>260</v>
      </c>
      <c r="AM14" s="45"/>
      <c r="AN14" s="45"/>
      <c r="AO14" s="45"/>
      <c r="AP14" s="45"/>
      <c r="AQ14" s="45"/>
      <c r="AR14" s="45"/>
      <c r="AS14" s="45"/>
      <c r="AT14" s="50"/>
    </row>
    <row r="15" spans="1:46" s="24" customFormat="1" ht="18" customHeight="1" x14ac:dyDescent="0.35">
      <c r="A15" s="542"/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4"/>
      <c r="N15" s="51"/>
      <c r="O15" s="27"/>
      <c r="P15" s="799" t="str">
        <f>IF('ISI DATA'!O4="", "", IF('ISI DATA'!O4=0, "", 'ISI DATA'!O4))</f>
        <v/>
      </c>
      <c r="Q15" s="799"/>
      <c r="R15" s="799"/>
      <c r="S15" s="799"/>
      <c r="T15" s="799"/>
      <c r="U15" s="799"/>
      <c r="AA15" s="543" t="str">
        <f>IF('ISI DATA'!P4=0, "", 'ISI DATA'!P4)</f>
        <v/>
      </c>
      <c r="AB15" s="543"/>
      <c r="AC15" s="543"/>
      <c r="AD15" s="543"/>
      <c r="AE15" s="543"/>
      <c r="AF15" s="543"/>
      <c r="AG15" s="543"/>
      <c r="AL15" s="730" t="str">
        <f>IF('ISI DATA'!Q3="", "", IF('ISI DATA'!Q3=0, "", 'ISI DATA'!Q3))</f>
        <v/>
      </c>
      <c r="AM15" s="730"/>
      <c r="AN15" s="730"/>
      <c r="AO15" s="730"/>
      <c r="AP15" s="730"/>
      <c r="AQ15" s="730"/>
      <c r="AR15" s="730"/>
      <c r="AS15" s="730"/>
      <c r="AT15" s="731"/>
    </row>
    <row r="16" spans="1:46" s="24" customFormat="1" ht="18" customHeight="1" x14ac:dyDescent="0.35">
      <c r="A16" s="542"/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4"/>
      <c r="N16" s="47"/>
      <c r="O16" s="27"/>
      <c r="P16" s="799" t="str">
        <f>IF('ISI DATA'!O5="", "", IF('ISI DATA'!O5=0, "", 'ISI DATA'!O5))</f>
        <v/>
      </c>
      <c r="Q16" s="799"/>
      <c r="R16" s="799"/>
      <c r="S16" s="799"/>
      <c r="T16" s="799"/>
      <c r="U16" s="799"/>
      <c r="AA16" s="543" t="str">
        <f>IF('ISI DATA'!P5=0, "", 'ISI DATA'!P5)</f>
        <v/>
      </c>
      <c r="AB16" s="543"/>
      <c r="AC16" s="543"/>
      <c r="AD16" s="543"/>
      <c r="AE16" s="543"/>
      <c r="AF16" s="543"/>
      <c r="AG16" s="543"/>
      <c r="AL16" s="730"/>
      <c r="AM16" s="730"/>
      <c r="AN16" s="730"/>
      <c r="AO16" s="730"/>
      <c r="AP16" s="730"/>
      <c r="AQ16" s="730"/>
      <c r="AR16" s="730"/>
      <c r="AS16" s="730"/>
      <c r="AT16" s="731"/>
    </row>
    <row r="17" spans="1:46" s="24" customFormat="1" ht="18" customHeight="1" x14ac:dyDescent="0.35">
      <c r="A17" s="545"/>
      <c r="B17" s="546"/>
      <c r="C17" s="546"/>
      <c r="D17" s="546"/>
      <c r="E17" s="546"/>
      <c r="F17" s="546"/>
      <c r="G17" s="546"/>
      <c r="H17" s="546"/>
      <c r="I17" s="546"/>
      <c r="J17" s="546"/>
      <c r="K17" s="546"/>
      <c r="L17" s="546"/>
      <c r="M17" s="547"/>
      <c r="N17" s="41"/>
      <c r="O17" s="52"/>
      <c r="P17" s="792" t="str">
        <f>IF('ISI DATA'!O6="", "", IF('ISI DATA'!O6=0, "", 'ISI DATA'!O6))</f>
        <v/>
      </c>
      <c r="Q17" s="792"/>
      <c r="R17" s="792"/>
      <c r="S17" s="792"/>
      <c r="T17" s="792"/>
      <c r="U17" s="792"/>
      <c r="V17" s="36"/>
      <c r="W17" s="36"/>
      <c r="X17" s="36"/>
      <c r="Y17" s="36"/>
      <c r="Z17" s="36"/>
      <c r="AA17" s="546" t="str">
        <f>IF('ISI DATA'!P6=0, "", 'ISI DATA'!P6)</f>
        <v/>
      </c>
      <c r="AB17" s="546"/>
      <c r="AC17" s="546"/>
      <c r="AD17" s="546"/>
      <c r="AE17" s="546"/>
      <c r="AF17" s="546"/>
      <c r="AG17" s="546"/>
      <c r="AH17" s="36"/>
      <c r="AI17" s="36"/>
      <c r="AJ17" s="36"/>
      <c r="AK17" s="36"/>
      <c r="AL17" s="732"/>
      <c r="AM17" s="732"/>
      <c r="AN17" s="732"/>
      <c r="AO17" s="732"/>
      <c r="AP17" s="732"/>
      <c r="AQ17" s="732"/>
      <c r="AR17" s="732"/>
      <c r="AS17" s="732"/>
      <c r="AT17" s="733"/>
    </row>
    <row r="18" spans="1:46" s="24" customFormat="1" ht="18" customHeight="1" x14ac:dyDescent="0.35">
      <c r="A18" s="576" t="s">
        <v>18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8"/>
      <c r="N18" s="508" t="s">
        <v>263</v>
      </c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4"/>
      <c r="AC18" s="508" t="s">
        <v>264</v>
      </c>
      <c r="AD18" s="503"/>
      <c r="AE18" s="503"/>
      <c r="AF18" s="503"/>
      <c r="AG18" s="503"/>
      <c r="AH18" s="503"/>
      <c r="AI18" s="503"/>
      <c r="AJ18" s="503"/>
      <c r="AK18" s="503"/>
      <c r="AL18" s="503"/>
      <c r="AM18" s="503"/>
      <c r="AN18" s="503"/>
      <c r="AO18" s="503"/>
      <c r="AP18" s="503"/>
      <c r="AQ18" s="503"/>
      <c r="AR18" s="503"/>
      <c r="AS18" s="503"/>
      <c r="AT18" s="820"/>
    </row>
    <row r="19" spans="1:46" s="24" customFormat="1" ht="18" customHeight="1" x14ac:dyDescent="0.35">
      <c r="A19" s="800"/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42"/>
      <c r="N19" s="47"/>
      <c r="O19" s="101"/>
      <c r="U19"/>
      <c r="AB19" s="53"/>
      <c r="AC19" s="44"/>
      <c r="AD19"/>
      <c r="AG19" s="106"/>
      <c r="AH19" s="106"/>
      <c r="AI19" s="106"/>
      <c r="AK19"/>
      <c r="AP19"/>
      <c r="AT19" s="46"/>
    </row>
    <row r="20" spans="1:46" s="24" customFormat="1" ht="18" customHeight="1" x14ac:dyDescent="0.35">
      <c r="A20" s="800"/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42"/>
      <c r="N20" s="47"/>
      <c r="O20"/>
      <c r="U20"/>
      <c r="AB20" s="53"/>
      <c r="AC20" s="47"/>
      <c r="AD20"/>
      <c r="AG20" s="106"/>
      <c r="AH20" s="106"/>
      <c r="AI20" s="106"/>
      <c r="AK20"/>
      <c r="AP20"/>
      <c r="AT20" s="46"/>
    </row>
    <row r="21" spans="1:46" s="24" customFormat="1" ht="18" customHeight="1" x14ac:dyDescent="0.35">
      <c r="A21" s="800"/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42"/>
      <c r="N21" s="47"/>
      <c r="O21"/>
      <c r="AB21" s="53"/>
      <c r="AC21" s="47"/>
      <c r="AD21"/>
      <c r="AG21" s="106"/>
      <c r="AH21" s="106"/>
      <c r="AI21" s="106"/>
      <c r="AK21"/>
      <c r="AP21"/>
      <c r="AT21" s="46"/>
    </row>
    <row r="22" spans="1:46" s="24" customFormat="1" ht="18" customHeight="1" x14ac:dyDescent="0.35">
      <c r="A22" s="800"/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42"/>
      <c r="N22" s="47"/>
      <c r="O22" s="106"/>
      <c r="AB22" s="53"/>
      <c r="AC22" s="47"/>
      <c r="AD22" s="106"/>
      <c r="AG22" s="106"/>
      <c r="AH22" s="106"/>
      <c r="AI22" s="106"/>
      <c r="AT22" s="46"/>
    </row>
    <row r="23" spans="1:46" s="24" customFormat="1" ht="18" customHeight="1" x14ac:dyDescent="0.35">
      <c r="A23" s="800"/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42"/>
      <c r="N23" s="25" t="s">
        <v>265</v>
      </c>
      <c r="AB23" s="53"/>
      <c r="AC23" s="25" t="s">
        <v>265</v>
      </c>
      <c r="AG23" s="106"/>
      <c r="AH23" s="106"/>
      <c r="AI23" s="106"/>
      <c r="AT23" s="46"/>
    </row>
    <row r="24" spans="1:46" s="24" customFormat="1" ht="18" customHeight="1" x14ac:dyDescent="0.35">
      <c r="A24" s="800"/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42"/>
      <c r="N24" s="734" t="str">
        <f>IF('ISI DATA'!S3="", "", IF('ISI DATA'!S3=0, "", 'ISI DATA'!S3))</f>
        <v/>
      </c>
      <c r="O24" s="735"/>
      <c r="P24" s="735"/>
      <c r="Q24" s="735"/>
      <c r="R24" s="735"/>
      <c r="S24" s="735"/>
      <c r="T24" s="735"/>
      <c r="U24" s="735"/>
      <c r="V24" s="735"/>
      <c r="W24" s="735"/>
      <c r="X24" s="735"/>
      <c r="Y24" s="735"/>
      <c r="Z24" s="735"/>
      <c r="AA24" s="735"/>
      <c r="AB24" s="736"/>
      <c r="AC24" s="734" t="str">
        <f>IF('ISI DATA'!AN3="", "", IF('ISI DATA'!AN3=0, "", 'ISI DATA'!AN3))</f>
        <v/>
      </c>
      <c r="AD24" s="735"/>
      <c r="AE24" s="735"/>
      <c r="AF24" s="735"/>
      <c r="AG24" s="735"/>
      <c r="AH24" s="735"/>
      <c r="AI24" s="735"/>
      <c r="AJ24" s="735"/>
      <c r="AK24" s="735"/>
      <c r="AL24" s="735"/>
      <c r="AM24" s="735"/>
      <c r="AN24" s="735"/>
      <c r="AO24" s="735"/>
      <c r="AP24" s="735"/>
      <c r="AQ24" s="735"/>
      <c r="AR24" s="735"/>
      <c r="AS24" s="735"/>
      <c r="AT24" s="740"/>
    </row>
    <row r="25" spans="1:46" s="24" customFormat="1" ht="18" customHeight="1" x14ac:dyDescent="0.35">
      <c r="A25" s="579"/>
      <c r="B25" s="580"/>
      <c r="C25" s="580"/>
      <c r="D25" s="580"/>
      <c r="E25" s="580"/>
      <c r="F25" s="580"/>
      <c r="G25" s="580"/>
      <c r="H25" s="580"/>
      <c r="I25" s="580"/>
      <c r="J25" s="580"/>
      <c r="K25" s="580"/>
      <c r="L25" s="580"/>
      <c r="M25" s="581"/>
      <c r="N25" s="737"/>
      <c r="O25" s="738"/>
      <c r="P25" s="738"/>
      <c r="Q25" s="738"/>
      <c r="R25" s="738"/>
      <c r="S25" s="738"/>
      <c r="T25" s="738"/>
      <c r="U25" s="738"/>
      <c r="V25" s="738"/>
      <c r="W25" s="738"/>
      <c r="X25" s="738"/>
      <c r="Y25" s="738"/>
      <c r="Z25" s="738"/>
      <c r="AA25" s="738"/>
      <c r="AB25" s="739"/>
      <c r="AC25" s="737"/>
      <c r="AD25" s="738"/>
      <c r="AE25" s="738"/>
      <c r="AF25" s="738"/>
      <c r="AG25" s="738"/>
      <c r="AH25" s="738"/>
      <c r="AI25" s="738"/>
      <c r="AJ25" s="738"/>
      <c r="AK25" s="738"/>
      <c r="AL25" s="738"/>
      <c r="AM25" s="738"/>
      <c r="AN25" s="738"/>
      <c r="AO25" s="738"/>
      <c r="AP25" s="738"/>
      <c r="AQ25" s="738"/>
      <c r="AR25" s="738"/>
      <c r="AS25" s="738"/>
      <c r="AT25" s="741"/>
    </row>
    <row r="26" spans="1:46" s="24" customFormat="1" ht="20.149999999999999" customHeight="1" x14ac:dyDescent="0.35">
      <c r="A26" s="576" t="s">
        <v>17</v>
      </c>
      <c r="B26" s="540"/>
      <c r="C26" s="540"/>
      <c r="D26" s="540"/>
      <c r="E26" s="540"/>
      <c r="F26" s="540"/>
      <c r="G26" s="540"/>
      <c r="H26" s="540"/>
      <c r="I26" s="540"/>
      <c r="J26" s="540"/>
      <c r="K26" s="540"/>
      <c r="L26" s="540"/>
      <c r="M26" s="541"/>
      <c r="N26" s="742" t="str">
        <f>IF('ISI DATA'!V3="", "", IF('ISI DATA'!V3=0, "", 'ISI DATA'!V3))</f>
        <v/>
      </c>
      <c r="O26" s="743"/>
      <c r="P26" s="743"/>
      <c r="Q26" s="743"/>
      <c r="R26" s="743"/>
      <c r="S26" s="743"/>
      <c r="T26" s="743"/>
      <c r="U26" s="743"/>
      <c r="V26" s="743"/>
      <c r="W26" s="743"/>
      <c r="X26" s="743"/>
      <c r="Y26" s="743"/>
      <c r="Z26" s="743"/>
      <c r="AA26" s="743"/>
      <c r="AB26" s="743"/>
      <c r="AC26" s="743"/>
      <c r="AD26" s="743"/>
      <c r="AE26" s="743"/>
      <c r="AF26" s="743"/>
      <c r="AG26" s="743"/>
      <c r="AH26" s="743"/>
      <c r="AI26" s="743"/>
      <c r="AJ26" s="743"/>
      <c r="AK26" s="743"/>
      <c r="AL26" s="743"/>
      <c r="AM26" s="743"/>
      <c r="AN26" s="743"/>
      <c r="AO26" s="743"/>
      <c r="AP26" s="743"/>
      <c r="AQ26" s="743"/>
      <c r="AR26" s="743"/>
      <c r="AS26" s="743"/>
      <c r="AT26" s="744"/>
    </row>
    <row r="27" spans="1:46" s="24" customFormat="1" ht="20.149999999999999" customHeight="1" x14ac:dyDescent="0.35">
      <c r="A27" s="545"/>
      <c r="B27" s="546"/>
      <c r="C27" s="546"/>
      <c r="D27" s="546"/>
      <c r="E27" s="546"/>
      <c r="F27" s="546"/>
      <c r="G27" s="546"/>
      <c r="H27" s="546"/>
      <c r="I27" s="546"/>
      <c r="J27" s="546"/>
      <c r="K27" s="546"/>
      <c r="L27" s="546"/>
      <c r="M27" s="547"/>
      <c r="N27" s="745"/>
      <c r="O27" s="746"/>
      <c r="P27" s="746"/>
      <c r="Q27" s="746"/>
      <c r="R27" s="746"/>
      <c r="S27" s="746"/>
      <c r="T27" s="746"/>
      <c r="U27" s="746"/>
      <c r="V27" s="746"/>
      <c r="W27" s="746"/>
      <c r="X27" s="746"/>
      <c r="Y27" s="746"/>
      <c r="Z27" s="746"/>
      <c r="AA27" s="746"/>
      <c r="AB27" s="746"/>
      <c r="AC27" s="746"/>
      <c r="AD27" s="746"/>
      <c r="AE27" s="746"/>
      <c r="AF27" s="746"/>
      <c r="AG27" s="746"/>
      <c r="AH27" s="746"/>
      <c r="AI27" s="746"/>
      <c r="AJ27" s="746"/>
      <c r="AK27" s="746"/>
      <c r="AL27" s="746"/>
      <c r="AM27" s="746"/>
      <c r="AN27" s="746"/>
      <c r="AO27" s="746"/>
      <c r="AP27" s="746"/>
      <c r="AQ27" s="746"/>
      <c r="AR27" s="746"/>
      <c r="AS27" s="746"/>
      <c r="AT27" s="747"/>
    </row>
    <row r="28" spans="1:46" s="24" customFormat="1" ht="20.149999999999999" customHeight="1" x14ac:dyDescent="0.35">
      <c r="A28" s="576" t="s">
        <v>16</v>
      </c>
      <c r="B28" s="540"/>
      <c r="C28" s="540"/>
      <c r="D28" s="540"/>
      <c r="E28" s="540"/>
      <c r="F28" s="540"/>
      <c r="G28" s="540"/>
      <c r="H28" s="540"/>
      <c r="I28" s="540"/>
      <c r="J28" s="540"/>
      <c r="K28" s="540"/>
      <c r="L28" s="540"/>
      <c r="M28" s="541"/>
      <c r="N28" s="748" t="str">
        <f>IF('ISI DATA'!W3="", "", IF('ISI DATA'!W3=0, "", 'ISI DATA'!W3))</f>
        <v/>
      </c>
      <c r="O28" s="749"/>
      <c r="P28" s="749"/>
      <c r="Q28" s="749"/>
      <c r="R28" s="749"/>
      <c r="S28" s="749"/>
      <c r="T28" s="749"/>
      <c r="U28" s="749"/>
      <c r="V28" s="749"/>
      <c r="W28" s="749"/>
      <c r="X28" s="749"/>
      <c r="Y28" s="749"/>
      <c r="Z28" s="749"/>
      <c r="AA28" s="749"/>
      <c r="AB28" s="749"/>
      <c r="AC28" s="749"/>
      <c r="AD28" s="749"/>
      <c r="AE28" s="749"/>
      <c r="AF28" s="749"/>
      <c r="AG28" s="749"/>
      <c r="AH28" s="749"/>
      <c r="AI28" s="749"/>
      <c r="AJ28" s="749"/>
      <c r="AK28" s="749"/>
      <c r="AL28" s="749"/>
      <c r="AM28" s="749"/>
      <c r="AN28" s="749"/>
      <c r="AO28" s="749"/>
      <c r="AP28" s="749"/>
      <c r="AQ28" s="749"/>
      <c r="AR28" s="749"/>
      <c r="AS28" s="749"/>
      <c r="AT28" s="750"/>
    </row>
    <row r="29" spans="1:46" s="54" customFormat="1" ht="20.149999999999999" customHeight="1" x14ac:dyDescent="0.3">
      <c r="A29" s="545"/>
      <c r="B29" s="546"/>
      <c r="C29" s="546"/>
      <c r="D29" s="546"/>
      <c r="E29" s="546"/>
      <c r="F29" s="546"/>
      <c r="G29" s="546"/>
      <c r="H29" s="546"/>
      <c r="I29" s="546"/>
      <c r="J29" s="546"/>
      <c r="K29" s="546"/>
      <c r="L29" s="546"/>
      <c r="M29" s="547"/>
      <c r="N29" s="737"/>
      <c r="O29" s="738"/>
      <c r="P29" s="738"/>
      <c r="Q29" s="738"/>
      <c r="R29" s="738"/>
      <c r="S29" s="738"/>
      <c r="T29" s="738"/>
      <c r="U29" s="738"/>
      <c r="V29" s="738"/>
      <c r="W29" s="738"/>
      <c r="X29" s="738"/>
      <c r="Y29" s="738"/>
      <c r="Z29" s="738"/>
      <c r="AA29" s="738"/>
      <c r="AB29" s="738"/>
      <c r="AC29" s="738"/>
      <c r="AD29" s="738"/>
      <c r="AE29" s="738"/>
      <c r="AF29" s="738"/>
      <c r="AG29" s="738"/>
      <c r="AH29" s="738"/>
      <c r="AI29" s="738"/>
      <c r="AJ29" s="738"/>
      <c r="AK29" s="738"/>
      <c r="AL29" s="738"/>
      <c r="AM29" s="738"/>
      <c r="AN29" s="738"/>
      <c r="AO29" s="738"/>
      <c r="AP29" s="738"/>
      <c r="AQ29" s="738"/>
      <c r="AR29" s="738"/>
      <c r="AS29" s="738"/>
      <c r="AT29" s="741"/>
    </row>
    <row r="30" spans="1:46" s="55" customFormat="1" ht="20.149999999999999" customHeight="1" x14ac:dyDescent="0.35">
      <c r="A30" s="576" t="s">
        <v>15</v>
      </c>
      <c r="B30" s="577"/>
      <c r="C30" s="577"/>
      <c r="D30" s="577"/>
      <c r="E30" s="577"/>
      <c r="F30" s="577"/>
      <c r="G30" s="577"/>
      <c r="H30" s="577"/>
      <c r="I30" s="577"/>
      <c r="J30" s="577"/>
      <c r="K30" s="577"/>
      <c r="L30" s="577"/>
      <c r="M30" s="578"/>
      <c r="N30" s="748" t="str">
        <f>IF('ISI DATA'!X3="", "", IF('ISI DATA'!X3=0, "", 'ISI DATA'!X3))</f>
        <v/>
      </c>
      <c r="O30" s="749"/>
      <c r="P30" s="749"/>
      <c r="Q30" s="749"/>
      <c r="R30" s="749"/>
      <c r="S30" s="749"/>
      <c r="T30" s="749"/>
      <c r="U30" s="749"/>
      <c r="V30" s="749"/>
      <c r="W30" s="749"/>
      <c r="X30" s="749"/>
      <c r="Y30" s="749"/>
      <c r="Z30" s="749"/>
      <c r="AA30" s="749"/>
      <c r="AB30" s="749"/>
      <c r="AC30" s="749"/>
      <c r="AD30" s="749"/>
      <c r="AE30" s="749"/>
      <c r="AF30" s="749"/>
      <c r="AG30" s="749"/>
      <c r="AH30" s="749"/>
      <c r="AI30" s="749"/>
      <c r="AJ30" s="749"/>
      <c r="AK30" s="749"/>
      <c r="AL30" s="749"/>
      <c r="AM30" s="749"/>
      <c r="AN30" s="749"/>
      <c r="AO30" s="749"/>
      <c r="AP30" s="749"/>
      <c r="AQ30" s="749"/>
      <c r="AR30" s="749"/>
      <c r="AS30" s="749"/>
      <c r="AT30" s="750"/>
    </row>
    <row r="31" spans="1:46" s="24" customFormat="1" ht="20.149999999999999" customHeight="1" x14ac:dyDescent="0.35">
      <c r="A31" s="579"/>
      <c r="B31" s="580"/>
      <c r="C31" s="580"/>
      <c r="D31" s="580"/>
      <c r="E31" s="580"/>
      <c r="F31" s="580"/>
      <c r="G31" s="580"/>
      <c r="H31" s="580"/>
      <c r="I31" s="580"/>
      <c r="J31" s="580"/>
      <c r="K31" s="580"/>
      <c r="L31" s="580"/>
      <c r="M31" s="581"/>
      <c r="N31" s="737"/>
      <c r="O31" s="738"/>
      <c r="P31" s="738"/>
      <c r="Q31" s="738"/>
      <c r="R31" s="738"/>
      <c r="S31" s="738"/>
      <c r="T31" s="738"/>
      <c r="U31" s="738"/>
      <c r="V31" s="738"/>
      <c r="W31" s="738"/>
      <c r="X31" s="738"/>
      <c r="Y31" s="738"/>
      <c r="Z31" s="738"/>
      <c r="AA31" s="738"/>
      <c r="AB31" s="738"/>
      <c r="AC31" s="738"/>
      <c r="AD31" s="738"/>
      <c r="AE31" s="738"/>
      <c r="AF31" s="738"/>
      <c r="AG31" s="738"/>
      <c r="AH31" s="738"/>
      <c r="AI31" s="738"/>
      <c r="AJ31" s="738"/>
      <c r="AK31" s="738"/>
      <c r="AL31" s="738"/>
      <c r="AM31" s="738"/>
      <c r="AN31" s="738"/>
      <c r="AO31" s="738"/>
      <c r="AP31" s="738"/>
      <c r="AQ31" s="738"/>
      <c r="AR31" s="738"/>
      <c r="AS31" s="738"/>
      <c r="AT31" s="741"/>
    </row>
    <row r="32" spans="1:46" s="24" customFormat="1" ht="18" customHeight="1" x14ac:dyDescent="0.35">
      <c r="A32" s="57"/>
      <c r="B32" s="58"/>
      <c r="C32" s="58"/>
      <c r="D32" s="58"/>
      <c r="E32" s="59"/>
      <c r="F32" s="508" t="s">
        <v>14</v>
      </c>
      <c r="G32" s="503"/>
      <c r="H32" s="503"/>
      <c r="I32" s="503"/>
      <c r="J32" s="504"/>
      <c r="K32" s="60" t="s">
        <v>13</v>
      </c>
      <c r="L32" s="61"/>
      <c r="M32" s="61"/>
      <c r="N32" s="61"/>
      <c r="O32" s="61"/>
      <c r="P32" s="61"/>
      <c r="Q32" s="61"/>
      <c r="R32" s="62"/>
      <c r="S32" s="24" t="s">
        <v>298</v>
      </c>
      <c r="V32" s="27"/>
      <c r="W32" s="106" t="str">
        <f>IF('ISI DATA'!AG3="", "", IF('ISI DATA'!AG3=0, "", 'ISI DATA'!AG3))</f>
        <v/>
      </c>
      <c r="AB32" s="24" t="s">
        <v>299</v>
      </c>
      <c r="AE32" s="27"/>
      <c r="AF32" s="106" t="str">
        <f>IF('ISI DATA'!AH3="", "", IF('ISI DATA'!AH3=0, "", 'ISI DATA'!AH3))</f>
        <v/>
      </c>
      <c r="AM32" s="61"/>
      <c r="AN32" s="27"/>
      <c r="AT32" s="43"/>
    </row>
    <row r="33" spans="1:46" s="24" customFormat="1" ht="18" customHeight="1" x14ac:dyDescent="0.35">
      <c r="A33" s="63"/>
      <c r="B33" s="730" t="s">
        <v>266</v>
      </c>
      <c r="C33" s="730"/>
      <c r="D33" s="730"/>
      <c r="E33" s="810"/>
      <c r="F33" s="811">
        <f>'ISI DATA'!AF3</f>
        <v>0</v>
      </c>
      <c r="G33" s="812"/>
      <c r="H33" s="812"/>
      <c r="I33" s="812"/>
      <c r="J33" s="813"/>
      <c r="K33" s="60" t="s">
        <v>12</v>
      </c>
      <c r="L33" s="61"/>
      <c r="M33" s="61"/>
      <c r="N33" s="61"/>
      <c r="O33" s="61"/>
      <c r="P33" s="61"/>
      <c r="Q33" s="61"/>
      <c r="R33" s="62"/>
      <c r="S33" s="60">
        <f>'ISI DATA'!AI3</f>
        <v>0</v>
      </c>
      <c r="T33" s="64"/>
      <c r="U33" s="61"/>
      <c r="V33" s="61"/>
      <c r="W33" s="61" t="s">
        <v>267</v>
      </c>
      <c r="X33" s="62"/>
      <c r="Y33" s="60"/>
      <c r="Z33" s="61"/>
      <c r="AA33" s="61"/>
      <c r="AB33" s="61"/>
      <c r="AC33" s="61"/>
      <c r="AD33" s="62"/>
      <c r="AE33" s="508" t="s">
        <v>7</v>
      </c>
      <c r="AF33" s="503"/>
      <c r="AG33" s="503"/>
      <c r="AH33" s="503"/>
      <c r="AI33" s="503"/>
      <c r="AJ33" s="503"/>
      <c r="AK33" s="503"/>
      <c r="AL33" s="503"/>
      <c r="AM33" s="504"/>
      <c r="AN33" s="508" t="s">
        <v>6</v>
      </c>
      <c r="AO33" s="503"/>
      <c r="AP33" s="503"/>
      <c r="AQ33" s="503"/>
      <c r="AR33" s="503"/>
      <c r="AS33" s="503"/>
      <c r="AT33" s="820"/>
    </row>
    <row r="34" spans="1:46" s="24" customFormat="1" ht="18" customHeight="1" x14ac:dyDescent="0.35">
      <c r="A34" s="63"/>
      <c r="B34" s="730"/>
      <c r="C34" s="730"/>
      <c r="D34" s="730"/>
      <c r="E34" s="810"/>
      <c r="F34" s="814"/>
      <c r="G34" s="815"/>
      <c r="H34" s="815"/>
      <c r="I34" s="815"/>
      <c r="J34" s="816"/>
      <c r="K34" s="60" t="s">
        <v>11</v>
      </c>
      <c r="L34" s="61"/>
      <c r="M34" s="61"/>
      <c r="N34" s="61"/>
      <c r="O34" s="61"/>
      <c r="P34" s="61"/>
      <c r="Q34" s="61"/>
      <c r="R34" s="62"/>
      <c r="S34" s="60">
        <f>'ISI DATA'!AJ3</f>
        <v>0</v>
      </c>
      <c r="T34" s="64"/>
      <c r="U34" s="61"/>
      <c r="V34" s="61"/>
      <c r="W34" s="61" t="s">
        <v>268</v>
      </c>
      <c r="X34" s="62"/>
      <c r="Y34" s="60" t="s">
        <v>9</v>
      </c>
      <c r="Z34" s="61"/>
      <c r="AA34" s="61"/>
      <c r="AB34" s="61"/>
      <c r="AC34" s="61"/>
      <c r="AD34" s="62"/>
      <c r="AE34" s="508">
        <f>'ISI DATA'!AL3</f>
        <v>0</v>
      </c>
      <c r="AF34" s="503"/>
      <c r="AG34" s="503"/>
      <c r="AH34" s="503"/>
      <c r="AI34" s="503"/>
      <c r="AJ34" s="503"/>
      <c r="AK34" s="503"/>
      <c r="AL34" s="503"/>
      <c r="AM34" s="504"/>
      <c r="AN34" s="508">
        <f>'ISI DATA'!AM3</f>
        <v>0</v>
      </c>
      <c r="AO34" s="503"/>
      <c r="AP34" s="503"/>
      <c r="AQ34" s="503"/>
      <c r="AR34" s="503"/>
      <c r="AS34" s="503"/>
      <c r="AT34" s="820"/>
    </row>
    <row r="35" spans="1:46" s="24" customFormat="1" ht="18" customHeight="1" x14ac:dyDescent="0.35">
      <c r="A35" s="65"/>
      <c r="B35" s="66"/>
      <c r="C35" s="66"/>
      <c r="D35" s="66"/>
      <c r="E35" s="67"/>
      <c r="F35" s="817"/>
      <c r="G35" s="818"/>
      <c r="H35" s="818"/>
      <c r="I35" s="818"/>
      <c r="J35" s="819"/>
      <c r="K35" s="44" t="s">
        <v>10</v>
      </c>
      <c r="L35" s="45"/>
      <c r="M35" s="45"/>
      <c r="N35" s="45"/>
      <c r="O35" s="45"/>
      <c r="P35" s="45"/>
      <c r="Q35" s="45"/>
      <c r="R35" s="68"/>
      <c r="S35" s="44">
        <f>'ISI DATA'!AK3</f>
        <v>0</v>
      </c>
      <c r="T35" s="49"/>
      <c r="U35" s="45"/>
      <c r="V35" s="45"/>
      <c r="W35" s="45" t="s">
        <v>269</v>
      </c>
      <c r="X35" s="68"/>
      <c r="Y35" s="44" t="s">
        <v>8</v>
      </c>
      <c r="Z35" s="45"/>
      <c r="AA35" s="61"/>
      <c r="AB35" s="61"/>
      <c r="AC35" s="61"/>
      <c r="AD35" s="62"/>
      <c r="AE35" s="508">
        <f>'ISI DATA'!AN3</f>
        <v>0</v>
      </c>
      <c r="AF35" s="503"/>
      <c r="AG35" s="503"/>
      <c r="AH35" s="503"/>
      <c r="AI35" s="503"/>
      <c r="AJ35" s="503"/>
      <c r="AK35" s="503"/>
      <c r="AL35" s="503"/>
      <c r="AM35" s="504"/>
      <c r="AN35" s="821">
        <f>'ISI DATA'!AO3</f>
        <v>0</v>
      </c>
      <c r="AO35" s="540"/>
      <c r="AP35" s="540"/>
      <c r="AQ35" s="540"/>
      <c r="AR35" s="540"/>
      <c r="AS35" s="540"/>
      <c r="AT35" s="822"/>
    </row>
    <row r="36" spans="1:46" s="24" customFormat="1" ht="18" customHeight="1" x14ac:dyDescent="0.35">
      <c r="A36" s="839" t="s">
        <v>5</v>
      </c>
      <c r="B36" s="840"/>
      <c r="C36" s="840"/>
      <c r="D36" s="840"/>
      <c r="E36" s="841"/>
      <c r="F36" s="60" t="s">
        <v>270</v>
      </c>
      <c r="G36" s="61"/>
      <c r="H36" s="61"/>
      <c r="I36" s="61"/>
      <c r="J36" s="69"/>
      <c r="K36" s="804" t="s">
        <v>3</v>
      </c>
      <c r="L36" s="805"/>
      <c r="M36" s="805"/>
      <c r="N36" s="805"/>
      <c r="O36" s="805"/>
      <c r="P36" s="805"/>
      <c r="Q36" s="805"/>
      <c r="R36" s="653"/>
      <c r="S36" s="804" t="s">
        <v>2</v>
      </c>
      <c r="T36" s="805"/>
      <c r="U36" s="805"/>
      <c r="V36" s="805"/>
      <c r="W36" s="805"/>
      <c r="X36" s="805"/>
      <c r="Y36" s="805"/>
      <c r="Z36" s="653"/>
      <c r="AA36" s="804" t="s">
        <v>1</v>
      </c>
      <c r="AB36" s="805"/>
      <c r="AC36" s="805"/>
      <c r="AD36" s="805"/>
      <c r="AE36" s="805"/>
      <c r="AF36" s="805"/>
      <c r="AG36" s="805"/>
      <c r="AH36" s="653"/>
      <c r="AI36" s="804" t="s">
        <v>0</v>
      </c>
      <c r="AJ36" s="805"/>
      <c r="AK36" s="805"/>
      <c r="AL36" s="805"/>
      <c r="AM36" s="805"/>
      <c r="AN36" s="805"/>
      <c r="AO36" s="805"/>
      <c r="AP36" s="653"/>
      <c r="AQ36" s="611" t="s">
        <v>484</v>
      </c>
      <c r="AR36" s="612"/>
      <c r="AS36" s="612"/>
      <c r="AT36" s="613"/>
    </row>
    <row r="37" spans="1:46" s="24" customFormat="1" ht="18" customHeight="1" x14ac:dyDescent="0.35">
      <c r="A37" s="539" t="str">
        <f>IF('ISI DATA'!AP3="", "", IF('ISI DATA'!AP3=0, "", 'ISI DATA'!AP3))</f>
        <v/>
      </c>
      <c r="B37" s="540"/>
      <c r="C37" s="540"/>
      <c r="D37" s="540"/>
      <c r="E37" s="541"/>
      <c r="F37" s="806" t="str">
        <f>'ISI DATA'!AQ3</f>
        <v/>
      </c>
      <c r="G37" s="807"/>
      <c r="H37" s="807"/>
      <c r="I37" s="807"/>
      <c r="J37" s="808"/>
      <c r="K37" s="632" t="s">
        <v>271</v>
      </c>
      <c r="L37" s="632"/>
      <c r="M37" s="632" t="s">
        <v>272</v>
      </c>
      <c r="N37" s="632"/>
      <c r="O37" s="632" t="s">
        <v>273</v>
      </c>
      <c r="P37" s="632"/>
      <c r="Q37" s="632" t="s">
        <v>274</v>
      </c>
      <c r="R37" s="632"/>
      <c r="S37" s="653" t="s">
        <v>271</v>
      </c>
      <c r="T37" s="632"/>
      <c r="U37" s="632" t="s">
        <v>272</v>
      </c>
      <c r="V37" s="632"/>
      <c r="W37" s="632" t="s">
        <v>273</v>
      </c>
      <c r="X37" s="632"/>
      <c r="Y37" s="632" t="s">
        <v>274</v>
      </c>
      <c r="Z37" s="632"/>
      <c r="AA37" s="632" t="s">
        <v>271</v>
      </c>
      <c r="AB37" s="632"/>
      <c r="AC37" s="632" t="s">
        <v>272</v>
      </c>
      <c r="AD37" s="632"/>
      <c r="AE37" s="632" t="s">
        <v>273</v>
      </c>
      <c r="AF37" s="632"/>
      <c r="AG37" s="632" t="s">
        <v>274</v>
      </c>
      <c r="AH37" s="632"/>
      <c r="AI37" s="653" t="s">
        <v>271</v>
      </c>
      <c r="AJ37" s="632"/>
      <c r="AK37" s="632" t="s">
        <v>272</v>
      </c>
      <c r="AL37" s="632"/>
      <c r="AM37" s="632" t="s">
        <v>273</v>
      </c>
      <c r="AN37" s="632"/>
      <c r="AO37" s="632" t="s">
        <v>274</v>
      </c>
      <c r="AP37" s="632"/>
      <c r="AQ37" s="614"/>
      <c r="AR37" s="615"/>
      <c r="AS37" s="615"/>
      <c r="AT37" s="616"/>
    </row>
    <row r="38" spans="1:46" s="24" customFormat="1" ht="18" customHeight="1" x14ac:dyDescent="0.35">
      <c r="A38" s="545"/>
      <c r="B38" s="546"/>
      <c r="C38" s="546"/>
      <c r="D38" s="546"/>
      <c r="E38" s="547"/>
      <c r="F38" s="767"/>
      <c r="G38" s="580"/>
      <c r="H38" s="580"/>
      <c r="I38" s="580"/>
      <c r="J38" s="809"/>
      <c r="K38" s="823">
        <f>'ISI DATA'!BD3</f>
        <v>0</v>
      </c>
      <c r="L38" s="824"/>
      <c r="M38" s="823">
        <f>'ISI DATA'!AR3</f>
        <v>0</v>
      </c>
      <c r="N38" s="824"/>
      <c r="O38" s="823">
        <f>'ISI DATA'!AS3</f>
        <v>0</v>
      </c>
      <c r="P38" s="824"/>
      <c r="Q38" s="823">
        <f>'ISI DATA'!AT3</f>
        <v>0</v>
      </c>
      <c r="R38" s="824"/>
      <c r="S38" s="825">
        <f>'ISI DATA'!BE3</f>
        <v>0</v>
      </c>
      <c r="T38" s="824"/>
      <c r="U38" s="823">
        <f>'ISI DATA'!AU3</f>
        <v>0</v>
      </c>
      <c r="V38" s="824"/>
      <c r="W38" s="823">
        <f>'ISI DATA'!AV3</f>
        <v>0</v>
      </c>
      <c r="X38" s="824"/>
      <c r="Y38" s="823">
        <f>'ISI DATA'!AW3</f>
        <v>0</v>
      </c>
      <c r="Z38" s="824"/>
      <c r="AA38" s="823">
        <f>'ISI DATA'!BF3</f>
        <v>0</v>
      </c>
      <c r="AB38" s="824"/>
      <c r="AC38" s="823">
        <f>'ISI DATA'!AX3</f>
        <v>0</v>
      </c>
      <c r="AD38" s="824"/>
      <c r="AE38" s="823">
        <f>'ISI DATA'!AY3</f>
        <v>0</v>
      </c>
      <c r="AF38" s="824"/>
      <c r="AG38" s="823">
        <f>'ISI DATA'!AZ3</f>
        <v>0</v>
      </c>
      <c r="AH38" s="824"/>
      <c r="AI38" s="825">
        <f>'ISI DATA'!BG3</f>
        <v>0</v>
      </c>
      <c r="AJ38" s="824"/>
      <c r="AK38" s="823">
        <f>'ISI DATA'!BA3</f>
        <v>0</v>
      </c>
      <c r="AL38" s="824"/>
      <c r="AM38" s="823">
        <f>'ISI DATA'!BB3</f>
        <v>0</v>
      </c>
      <c r="AN38" s="824"/>
      <c r="AO38" s="823">
        <f>'ISI DATA'!BC3</f>
        <v>0</v>
      </c>
      <c r="AP38" s="824"/>
      <c r="AQ38" s="617"/>
      <c r="AR38" s="618"/>
      <c r="AS38" s="618"/>
      <c r="AT38" s="619"/>
    </row>
    <row r="39" spans="1:46" s="24" customFormat="1" ht="18" customHeight="1" x14ac:dyDescent="0.35">
      <c r="A39" s="539" t="s">
        <v>275</v>
      </c>
      <c r="B39" s="540"/>
      <c r="C39" s="540"/>
      <c r="D39" s="541"/>
      <c r="E39" s="826" t="s">
        <v>300</v>
      </c>
      <c r="F39" s="688"/>
      <c r="G39" s="688"/>
      <c r="H39" s="688"/>
      <c r="I39" s="688"/>
      <c r="J39" s="688"/>
      <c r="K39" s="580"/>
      <c r="L39" s="580"/>
      <c r="M39" s="580"/>
      <c r="N39" s="580"/>
      <c r="O39" s="580"/>
      <c r="P39" s="581"/>
      <c r="Q39" s="24" t="s">
        <v>275</v>
      </c>
      <c r="AT39" s="46"/>
    </row>
    <row r="40" spans="1:46" s="24" customFormat="1" ht="18" customHeight="1" x14ac:dyDescent="0.35">
      <c r="A40" s="542"/>
      <c r="B40" s="543"/>
      <c r="C40" s="543"/>
      <c r="D40" s="544"/>
      <c r="E40" s="827" t="s">
        <v>301</v>
      </c>
      <c r="F40" s="828"/>
      <c r="G40" s="828"/>
      <c r="H40" s="828"/>
      <c r="I40" s="104" t="s">
        <v>246</v>
      </c>
      <c r="J40" s="829">
        <f>'ISI DATA'!BI3</f>
        <v>0</v>
      </c>
      <c r="K40" s="829"/>
      <c r="L40" s="829"/>
      <c r="M40" s="829"/>
      <c r="N40" s="829"/>
      <c r="O40" s="829"/>
      <c r="P40" s="830"/>
      <c r="Q40" s="866">
        <f>'ISI DATA'!BH3</f>
        <v>0</v>
      </c>
      <c r="R40" s="867"/>
      <c r="S40" s="867"/>
      <c r="T40" s="867"/>
      <c r="U40" s="867"/>
      <c r="V40" s="867"/>
      <c r="W40" s="867"/>
      <c r="X40" s="867"/>
      <c r="Y40" s="867"/>
      <c r="Z40" s="867"/>
      <c r="AA40" s="867"/>
      <c r="AB40" s="867"/>
      <c r="AC40" s="867"/>
      <c r="AD40" s="867"/>
      <c r="AE40" s="867"/>
      <c r="AF40" s="867"/>
      <c r="AG40" s="867"/>
      <c r="AH40" s="867"/>
      <c r="AI40" s="867"/>
      <c r="AJ40" s="867"/>
      <c r="AK40" s="867"/>
      <c r="AL40" s="867"/>
      <c r="AM40" s="867"/>
      <c r="AN40" s="867"/>
      <c r="AO40" s="867"/>
      <c r="AP40" s="867"/>
      <c r="AQ40" s="867"/>
      <c r="AR40" s="867"/>
      <c r="AS40" s="867"/>
      <c r="AT40" s="868"/>
    </row>
    <row r="41" spans="1:46" s="24" customFormat="1" ht="20.5" customHeight="1" x14ac:dyDescent="0.35">
      <c r="A41" s="545"/>
      <c r="B41" s="546"/>
      <c r="C41" s="546"/>
      <c r="D41" s="547"/>
      <c r="E41" s="508" t="s">
        <v>10</v>
      </c>
      <c r="F41" s="503"/>
      <c r="G41" s="503"/>
      <c r="H41" s="503"/>
      <c r="I41" s="61" t="s">
        <v>246</v>
      </c>
      <c r="J41" s="831">
        <f>'ISI DATA'!BJ3</f>
        <v>0</v>
      </c>
      <c r="K41" s="831"/>
      <c r="L41" s="831"/>
      <c r="M41" s="831"/>
      <c r="N41" s="831"/>
      <c r="O41" s="831"/>
      <c r="P41" s="832"/>
      <c r="Q41" s="869"/>
      <c r="R41" s="870"/>
      <c r="S41" s="870"/>
      <c r="T41" s="870"/>
      <c r="U41" s="870"/>
      <c r="V41" s="870"/>
      <c r="W41" s="870"/>
      <c r="X41" s="870"/>
      <c r="Y41" s="870"/>
      <c r="Z41" s="870"/>
      <c r="AA41" s="870"/>
      <c r="AB41" s="870"/>
      <c r="AC41" s="870"/>
      <c r="AD41" s="870"/>
      <c r="AE41" s="870"/>
      <c r="AF41" s="870"/>
      <c r="AG41" s="870"/>
      <c r="AH41" s="870"/>
      <c r="AI41" s="870"/>
      <c r="AJ41" s="870"/>
      <c r="AK41" s="870"/>
      <c r="AL41" s="870"/>
      <c r="AM41" s="870"/>
      <c r="AN41" s="870"/>
      <c r="AO41" s="870"/>
      <c r="AP41" s="870"/>
      <c r="AQ41" s="870"/>
      <c r="AR41" s="870"/>
      <c r="AS41" s="870"/>
      <c r="AT41" s="871"/>
    </row>
    <row r="42" spans="1:46" s="74" customFormat="1" ht="18" customHeight="1" x14ac:dyDescent="0.35">
      <c r="A42" s="70" t="s">
        <v>276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3"/>
    </row>
    <row r="43" spans="1:46" s="78" customFormat="1" ht="18" customHeight="1" x14ac:dyDescent="0.3">
      <c r="A43" s="669" t="s">
        <v>277</v>
      </c>
      <c r="B43" s="670"/>
      <c r="C43" s="671"/>
      <c r="D43" s="675" t="s">
        <v>278</v>
      </c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1"/>
      <c r="P43" s="675" t="s">
        <v>279</v>
      </c>
      <c r="Q43" s="670"/>
      <c r="R43" s="671"/>
      <c r="S43" s="75" t="s">
        <v>280</v>
      </c>
      <c r="T43" s="76"/>
      <c r="U43" s="76"/>
      <c r="V43" s="77"/>
      <c r="W43" s="675" t="s">
        <v>281</v>
      </c>
      <c r="X43" s="670"/>
      <c r="Y43" s="670"/>
      <c r="Z43" s="670"/>
      <c r="AA43" s="670"/>
      <c r="AB43" s="670"/>
      <c r="AC43" s="670"/>
      <c r="AD43" s="670"/>
      <c r="AE43" s="670"/>
      <c r="AF43" s="670"/>
      <c r="AG43" s="670"/>
      <c r="AH43" s="670"/>
      <c r="AI43" s="670"/>
      <c r="AJ43" s="670"/>
      <c r="AK43" s="670"/>
      <c r="AL43" s="670"/>
      <c r="AM43" s="671"/>
      <c r="AN43" s="675" t="s">
        <v>282</v>
      </c>
      <c r="AO43" s="670"/>
      <c r="AP43" s="670"/>
      <c r="AQ43" s="670"/>
      <c r="AR43" s="670"/>
      <c r="AS43" s="670"/>
      <c r="AT43" s="677"/>
    </row>
    <row r="44" spans="1:46" s="78" customFormat="1" ht="18" customHeight="1" x14ac:dyDescent="0.35">
      <c r="A44" s="672"/>
      <c r="B44" s="673"/>
      <c r="C44" s="674"/>
      <c r="D44" s="676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4"/>
      <c r="P44" s="676"/>
      <c r="Q44" s="673"/>
      <c r="R44" s="674"/>
      <c r="S44" s="79" t="s">
        <v>283</v>
      </c>
      <c r="T44" s="80"/>
      <c r="U44" s="80"/>
      <c r="V44" s="81"/>
      <c r="W44" s="676"/>
      <c r="X44" s="673"/>
      <c r="Y44" s="673"/>
      <c r="Z44" s="673"/>
      <c r="AA44" s="673"/>
      <c r="AB44" s="673"/>
      <c r="AC44" s="673"/>
      <c r="AD44" s="673"/>
      <c r="AE44" s="673"/>
      <c r="AF44" s="673"/>
      <c r="AG44" s="673"/>
      <c r="AH44" s="673"/>
      <c r="AI44" s="673"/>
      <c r="AJ44" s="673"/>
      <c r="AK44" s="673"/>
      <c r="AL44" s="673"/>
      <c r="AM44" s="674"/>
      <c r="AN44" s="676"/>
      <c r="AO44" s="673"/>
      <c r="AP44" s="673"/>
      <c r="AQ44" s="673"/>
      <c r="AR44" s="673"/>
      <c r="AS44" s="673"/>
      <c r="AT44" s="678"/>
    </row>
    <row r="45" spans="1:46" s="24" customFormat="1" ht="18" customHeight="1" x14ac:dyDescent="0.35">
      <c r="A45" s="502">
        <f>'ISI DATA'!Y3</f>
        <v>0</v>
      </c>
      <c r="B45" s="503"/>
      <c r="C45" s="504"/>
      <c r="D45" s="508">
        <f>'ISI DATA'!Z3</f>
        <v>0</v>
      </c>
      <c r="E45" s="503"/>
      <c r="F45" s="503"/>
      <c r="G45" s="503"/>
      <c r="H45" s="503"/>
      <c r="I45" s="503"/>
      <c r="J45" s="503"/>
      <c r="K45" s="503"/>
      <c r="L45" s="503"/>
      <c r="M45" s="503"/>
      <c r="N45" s="503"/>
      <c r="O45" s="504"/>
      <c r="P45" s="508">
        <f>'ISI DATA'!AA3</f>
        <v>0</v>
      </c>
      <c r="Q45" s="503"/>
      <c r="R45" s="504"/>
      <c r="S45" s="508">
        <f>'ISI DATA'!AB3</f>
        <v>0</v>
      </c>
      <c r="T45" s="503"/>
      <c r="U45" s="503"/>
      <c r="V45" s="504"/>
      <c r="W45" s="508">
        <f>'ISI DATA'!AC3</f>
        <v>0</v>
      </c>
      <c r="X45" s="503"/>
      <c r="Y45" s="503"/>
      <c r="Z45" s="503"/>
      <c r="AA45" s="503"/>
      <c r="AB45" s="503"/>
      <c r="AC45" s="503"/>
      <c r="AD45" s="503"/>
      <c r="AE45" s="503"/>
      <c r="AF45" s="503"/>
      <c r="AG45" s="503"/>
      <c r="AH45" s="503"/>
      <c r="AI45" s="503"/>
      <c r="AJ45" s="503"/>
      <c r="AK45" s="503"/>
      <c r="AL45" s="503"/>
      <c r="AM45" s="504"/>
      <c r="AN45" s="508">
        <f>'ISI DATA'!AD3</f>
        <v>0</v>
      </c>
      <c r="AO45" s="503"/>
      <c r="AP45" s="503"/>
      <c r="AQ45" s="503"/>
      <c r="AR45" s="503"/>
      <c r="AS45" s="503"/>
      <c r="AT45" s="820"/>
    </row>
    <row r="46" spans="1:46" s="24" customFormat="1" ht="18" customHeight="1" x14ac:dyDescent="0.35">
      <c r="A46" s="502">
        <f>'ISI DATA'!Y4</f>
        <v>0</v>
      </c>
      <c r="B46" s="503"/>
      <c r="C46" s="504"/>
      <c r="D46" s="508">
        <f>'ISI DATA'!Z4</f>
        <v>0</v>
      </c>
      <c r="E46" s="503"/>
      <c r="F46" s="503"/>
      <c r="G46" s="503"/>
      <c r="H46" s="503"/>
      <c r="I46" s="503"/>
      <c r="J46" s="503"/>
      <c r="K46" s="503"/>
      <c r="L46" s="503"/>
      <c r="M46" s="503"/>
      <c r="N46" s="503"/>
      <c r="O46" s="504"/>
      <c r="P46" s="508">
        <f>'ISI DATA'!AA4</f>
        <v>0</v>
      </c>
      <c r="Q46" s="503"/>
      <c r="R46" s="504"/>
      <c r="S46" s="508">
        <f>'ISI DATA'!AB4</f>
        <v>0</v>
      </c>
      <c r="T46" s="503"/>
      <c r="U46" s="503"/>
      <c r="V46" s="504"/>
      <c r="W46" s="508">
        <f>'ISI DATA'!AC4</f>
        <v>0</v>
      </c>
      <c r="X46" s="503"/>
      <c r="Y46" s="503"/>
      <c r="Z46" s="503"/>
      <c r="AA46" s="503"/>
      <c r="AB46" s="503"/>
      <c r="AC46" s="503"/>
      <c r="AD46" s="503"/>
      <c r="AE46" s="503"/>
      <c r="AF46" s="503"/>
      <c r="AG46" s="503"/>
      <c r="AH46" s="503"/>
      <c r="AI46" s="503"/>
      <c r="AJ46" s="503"/>
      <c r="AK46" s="503"/>
      <c r="AL46" s="503"/>
      <c r="AM46" s="504"/>
      <c r="AN46" s="508">
        <f>'ISI DATA'!AD4</f>
        <v>0</v>
      </c>
      <c r="AO46" s="503"/>
      <c r="AP46" s="503"/>
      <c r="AQ46" s="503"/>
      <c r="AR46" s="503"/>
      <c r="AS46" s="503"/>
      <c r="AT46" s="820"/>
    </row>
    <row r="47" spans="1:46" s="24" customFormat="1" ht="18" customHeight="1" x14ac:dyDescent="0.35">
      <c r="A47" s="502">
        <f>'ISI DATA'!Y5</f>
        <v>0</v>
      </c>
      <c r="B47" s="503"/>
      <c r="C47" s="504"/>
      <c r="D47" s="508">
        <f>'ISI DATA'!Z5</f>
        <v>0</v>
      </c>
      <c r="E47" s="503"/>
      <c r="F47" s="503"/>
      <c r="G47" s="503"/>
      <c r="H47" s="503"/>
      <c r="I47" s="503"/>
      <c r="J47" s="503"/>
      <c r="K47" s="503"/>
      <c r="L47" s="503"/>
      <c r="M47" s="503"/>
      <c r="N47" s="503"/>
      <c r="O47" s="504"/>
      <c r="P47" s="508">
        <f>'ISI DATA'!AA5</f>
        <v>0</v>
      </c>
      <c r="Q47" s="503"/>
      <c r="R47" s="504"/>
      <c r="S47" s="508">
        <f>'ISI DATA'!AB5</f>
        <v>0</v>
      </c>
      <c r="T47" s="503"/>
      <c r="U47" s="503"/>
      <c r="V47" s="504"/>
      <c r="W47" s="508">
        <f>'ISI DATA'!AC5</f>
        <v>0</v>
      </c>
      <c r="X47" s="503"/>
      <c r="Y47" s="503"/>
      <c r="Z47" s="503"/>
      <c r="AA47" s="503"/>
      <c r="AB47" s="503"/>
      <c r="AC47" s="503"/>
      <c r="AD47" s="503"/>
      <c r="AE47" s="503"/>
      <c r="AF47" s="503"/>
      <c r="AG47" s="503"/>
      <c r="AH47" s="503"/>
      <c r="AI47" s="503"/>
      <c r="AJ47" s="503"/>
      <c r="AK47" s="503"/>
      <c r="AL47" s="503"/>
      <c r="AM47" s="504"/>
      <c r="AN47" s="508">
        <f>'ISI DATA'!AD5</f>
        <v>0</v>
      </c>
      <c r="AO47" s="503"/>
      <c r="AP47" s="503"/>
      <c r="AQ47" s="503"/>
      <c r="AR47" s="503"/>
      <c r="AS47" s="503"/>
      <c r="AT47" s="820"/>
    </row>
    <row r="48" spans="1:46" s="24" customFormat="1" ht="18" customHeight="1" x14ac:dyDescent="0.35">
      <c r="A48" s="502">
        <f>'ISI DATA'!Y6</f>
        <v>0</v>
      </c>
      <c r="B48" s="503"/>
      <c r="C48" s="504"/>
      <c r="D48" s="508">
        <f>'ISI DATA'!Z6</f>
        <v>0</v>
      </c>
      <c r="E48" s="503"/>
      <c r="F48" s="503"/>
      <c r="G48" s="503"/>
      <c r="H48" s="503"/>
      <c r="I48" s="503"/>
      <c r="J48" s="503"/>
      <c r="K48" s="503"/>
      <c r="L48" s="503"/>
      <c r="M48" s="503"/>
      <c r="N48" s="503"/>
      <c r="O48" s="504"/>
      <c r="P48" s="508">
        <f>'ISI DATA'!AA6</f>
        <v>0</v>
      </c>
      <c r="Q48" s="503"/>
      <c r="R48" s="504"/>
      <c r="S48" s="508">
        <f>'ISI DATA'!AB6</f>
        <v>0</v>
      </c>
      <c r="T48" s="503"/>
      <c r="U48" s="503"/>
      <c r="V48" s="504"/>
      <c r="W48" s="508">
        <f>'ISI DATA'!AC6</f>
        <v>0</v>
      </c>
      <c r="X48" s="503"/>
      <c r="Y48" s="503"/>
      <c r="Z48" s="503"/>
      <c r="AA48" s="503"/>
      <c r="AB48" s="503"/>
      <c r="AC48" s="503"/>
      <c r="AD48" s="503"/>
      <c r="AE48" s="503"/>
      <c r="AF48" s="503"/>
      <c r="AG48" s="503"/>
      <c r="AH48" s="503"/>
      <c r="AI48" s="503"/>
      <c r="AJ48" s="503"/>
      <c r="AK48" s="503"/>
      <c r="AL48" s="503"/>
      <c r="AM48" s="504"/>
      <c r="AN48" s="508">
        <f>'ISI DATA'!AD6</f>
        <v>0</v>
      </c>
      <c r="AO48" s="503"/>
      <c r="AP48" s="503"/>
      <c r="AQ48" s="503"/>
      <c r="AR48" s="503"/>
      <c r="AS48" s="503"/>
      <c r="AT48" s="820"/>
    </row>
    <row r="49" spans="1:46" s="24" customFormat="1" ht="18" customHeight="1" x14ac:dyDescent="0.35">
      <c r="A49" s="502">
        <f>'ISI DATA'!Y7</f>
        <v>0</v>
      </c>
      <c r="B49" s="503"/>
      <c r="C49" s="504"/>
      <c r="D49" s="508">
        <f>'ISI DATA'!Z7</f>
        <v>0</v>
      </c>
      <c r="E49" s="503"/>
      <c r="F49" s="503"/>
      <c r="G49" s="503"/>
      <c r="H49" s="503"/>
      <c r="I49" s="503"/>
      <c r="J49" s="503"/>
      <c r="K49" s="503"/>
      <c r="L49" s="503"/>
      <c r="M49" s="503"/>
      <c r="N49" s="503"/>
      <c r="O49" s="504"/>
      <c r="P49" s="508">
        <f>'ISI DATA'!AA7</f>
        <v>0</v>
      </c>
      <c r="Q49" s="503"/>
      <c r="R49" s="504"/>
      <c r="S49" s="508">
        <f>'ISI DATA'!AB7</f>
        <v>0</v>
      </c>
      <c r="T49" s="503"/>
      <c r="U49" s="503"/>
      <c r="V49" s="504"/>
      <c r="W49" s="508">
        <f>'ISI DATA'!AC7</f>
        <v>0</v>
      </c>
      <c r="X49" s="503"/>
      <c r="Y49" s="503"/>
      <c r="Z49" s="503"/>
      <c r="AA49" s="503"/>
      <c r="AB49" s="503"/>
      <c r="AC49" s="503"/>
      <c r="AD49" s="503"/>
      <c r="AE49" s="503"/>
      <c r="AF49" s="503"/>
      <c r="AG49" s="503"/>
      <c r="AH49" s="503"/>
      <c r="AI49" s="503"/>
      <c r="AJ49" s="503"/>
      <c r="AK49" s="503"/>
      <c r="AL49" s="503"/>
      <c r="AM49" s="504"/>
      <c r="AN49" s="508">
        <f>'ISI DATA'!AD7</f>
        <v>0</v>
      </c>
      <c r="AO49" s="503"/>
      <c r="AP49" s="503"/>
      <c r="AQ49" s="503"/>
      <c r="AR49" s="503"/>
      <c r="AS49" s="503"/>
      <c r="AT49" s="820"/>
    </row>
    <row r="50" spans="1:46" s="24" customFormat="1" ht="18" customHeight="1" x14ac:dyDescent="0.35">
      <c r="A50" s="502">
        <f>'ISI DATA'!Y8</f>
        <v>0</v>
      </c>
      <c r="B50" s="503"/>
      <c r="C50" s="504"/>
      <c r="D50" s="508">
        <f>'ISI DATA'!Z8</f>
        <v>0</v>
      </c>
      <c r="E50" s="503"/>
      <c r="F50" s="503"/>
      <c r="G50" s="503"/>
      <c r="H50" s="503"/>
      <c r="I50" s="503"/>
      <c r="J50" s="503"/>
      <c r="K50" s="503"/>
      <c r="L50" s="503"/>
      <c r="M50" s="503"/>
      <c r="N50" s="503"/>
      <c r="O50" s="504"/>
      <c r="P50" s="508">
        <f>'ISI DATA'!AA8</f>
        <v>0</v>
      </c>
      <c r="Q50" s="503"/>
      <c r="R50" s="504"/>
      <c r="S50" s="508">
        <f>'ISI DATA'!AB8</f>
        <v>0</v>
      </c>
      <c r="T50" s="503"/>
      <c r="U50" s="503"/>
      <c r="V50" s="504"/>
      <c r="W50" s="508">
        <f>'ISI DATA'!AC8</f>
        <v>0</v>
      </c>
      <c r="X50" s="503"/>
      <c r="Y50" s="503"/>
      <c r="Z50" s="503"/>
      <c r="AA50" s="503"/>
      <c r="AB50" s="503"/>
      <c r="AC50" s="503"/>
      <c r="AD50" s="503"/>
      <c r="AE50" s="503"/>
      <c r="AF50" s="503"/>
      <c r="AG50" s="503"/>
      <c r="AH50" s="503"/>
      <c r="AI50" s="503"/>
      <c r="AJ50" s="503"/>
      <c r="AK50" s="503"/>
      <c r="AL50" s="503"/>
      <c r="AM50" s="504"/>
      <c r="AN50" s="508">
        <f>'ISI DATA'!AD8</f>
        <v>0</v>
      </c>
      <c r="AO50" s="503"/>
      <c r="AP50" s="503"/>
      <c r="AQ50" s="503"/>
      <c r="AR50" s="503"/>
      <c r="AS50" s="503"/>
      <c r="AT50" s="820"/>
    </row>
    <row r="51" spans="1:46" s="24" customFormat="1" ht="18" customHeight="1" x14ac:dyDescent="0.35">
      <c r="A51" s="502">
        <f>'ISI DATA'!Y9</f>
        <v>0</v>
      </c>
      <c r="B51" s="503"/>
      <c r="C51" s="504"/>
      <c r="D51" s="508">
        <f>'ISI DATA'!Z9</f>
        <v>0</v>
      </c>
      <c r="E51" s="503"/>
      <c r="F51" s="503"/>
      <c r="G51" s="503"/>
      <c r="H51" s="503"/>
      <c r="I51" s="503"/>
      <c r="J51" s="503"/>
      <c r="K51" s="503"/>
      <c r="L51" s="503"/>
      <c r="M51" s="503"/>
      <c r="N51" s="503"/>
      <c r="O51" s="504"/>
      <c r="P51" s="508">
        <f>'ISI DATA'!AA9</f>
        <v>0</v>
      </c>
      <c r="Q51" s="503"/>
      <c r="R51" s="504"/>
      <c r="S51" s="508">
        <f>'ISI DATA'!AB9</f>
        <v>0</v>
      </c>
      <c r="T51" s="503"/>
      <c r="U51" s="503"/>
      <c r="V51" s="504"/>
      <c r="W51" s="508">
        <f>'ISI DATA'!AC9</f>
        <v>0</v>
      </c>
      <c r="X51" s="503"/>
      <c r="Y51" s="503"/>
      <c r="Z51" s="503"/>
      <c r="AA51" s="503"/>
      <c r="AB51" s="503"/>
      <c r="AC51" s="503"/>
      <c r="AD51" s="503"/>
      <c r="AE51" s="503"/>
      <c r="AF51" s="503"/>
      <c r="AG51" s="503"/>
      <c r="AH51" s="503"/>
      <c r="AI51" s="503"/>
      <c r="AJ51" s="503"/>
      <c r="AK51" s="503"/>
      <c r="AL51" s="503"/>
      <c r="AM51" s="504"/>
      <c r="AN51" s="508">
        <f>'ISI DATA'!AD9</f>
        <v>0</v>
      </c>
      <c r="AO51" s="503"/>
      <c r="AP51" s="503"/>
      <c r="AQ51" s="503"/>
      <c r="AR51" s="503"/>
      <c r="AS51" s="503"/>
      <c r="AT51" s="820"/>
    </row>
    <row r="52" spans="1:46" s="24" customFormat="1" ht="18" customHeight="1" x14ac:dyDescent="0.35">
      <c r="A52" s="502">
        <f>'ISI DATA'!Y10</f>
        <v>0</v>
      </c>
      <c r="B52" s="503"/>
      <c r="C52" s="504"/>
      <c r="D52" s="508">
        <f>'ISI DATA'!Z10</f>
        <v>0</v>
      </c>
      <c r="E52" s="503"/>
      <c r="F52" s="503"/>
      <c r="G52" s="503"/>
      <c r="H52" s="503"/>
      <c r="I52" s="503"/>
      <c r="J52" s="503"/>
      <c r="K52" s="503"/>
      <c r="L52" s="503"/>
      <c r="M52" s="503"/>
      <c r="N52" s="503"/>
      <c r="O52" s="504"/>
      <c r="P52" s="508">
        <f>'ISI DATA'!AA10</f>
        <v>0</v>
      </c>
      <c r="Q52" s="503"/>
      <c r="R52" s="504"/>
      <c r="S52" s="508">
        <f>'ISI DATA'!AB10</f>
        <v>0</v>
      </c>
      <c r="T52" s="503"/>
      <c r="U52" s="503"/>
      <c r="V52" s="504"/>
      <c r="W52" s="508">
        <f>'ISI DATA'!AC10</f>
        <v>0</v>
      </c>
      <c r="X52" s="503"/>
      <c r="Y52" s="503"/>
      <c r="Z52" s="503"/>
      <c r="AA52" s="503"/>
      <c r="AB52" s="503"/>
      <c r="AC52" s="503"/>
      <c r="AD52" s="503"/>
      <c r="AE52" s="503"/>
      <c r="AF52" s="503"/>
      <c r="AG52" s="503"/>
      <c r="AH52" s="503"/>
      <c r="AI52" s="503"/>
      <c r="AJ52" s="503"/>
      <c r="AK52" s="503"/>
      <c r="AL52" s="503"/>
      <c r="AM52" s="504"/>
      <c r="AN52" s="508">
        <f>'ISI DATA'!AD10</f>
        <v>0</v>
      </c>
      <c r="AO52" s="503"/>
      <c r="AP52" s="503"/>
      <c r="AQ52" s="503"/>
      <c r="AR52" s="503"/>
      <c r="AS52" s="503"/>
      <c r="AT52" s="820"/>
    </row>
    <row r="53" spans="1:46" s="24" customFormat="1" ht="18" customHeight="1" x14ac:dyDescent="0.35">
      <c r="A53" s="502">
        <f>'ISI DATA'!Y11</f>
        <v>0</v>
      </c>
      <c r="B53" s="503"/>
      <c r="C53" s="504"/>
      <c r="D53" s="508">
        <f>'ISI DATA'!Z11</f>
        <v>0</v>
      </c>
      <c r="E53" s="503"/>
      <c r="F53" s="503"/>
      <c r="G53" s="503"/>
      <c r="H53" s="503"/>
      <c r="I53" s="503"/>
      <c r="J53" s="503"/>
      <c r="K53" s="503"/>
      <c r="L53" s="503"/>
      <c r="M53" s="503"/>
      <c r="N53" s="503"/>
      <c r="O53" s="504"/>
      <c r="P53" s="508">
        <f>'ISI DATA'!AA11</f>
        <v>0</v>
      </c>
      <c r="Q53" s="503"/>
      <c r="R53" s="504"/>
      <c r="S53" s="508">
        <f>'ISI DATA'!AB11</f>
        <v>0</v>
      </c>
      <c r="T53" s="503"/>
      <c r="U53" s="503"/>
      <c r="V53" s="504"/>
      <c r="W53" s="508">
        <f>'ISI DATA'!AC11</f>
        <v>0</v>
      </c>
      <c r="X53" s="503"/>
      <c r="Y53" s="503"/>
      <c r="Z53" s="503"/>
      <c r="AA53" s="503"/>
      <c r="AB53" s="503"/>
      <c r="AC53" s="503"/>
      <c r="AD53" s="503"/>
      <c r="AE53" s="503"/>
      <c r="AF53" s="503"/>
      <c r="AG53" s="503"/>
      <c r="AH53" s="503"/>
      <c r="AI53" s="503"/>
      <c r="AJ53" s="503"/>
      <c r="AK53" s="503"/>
      <c r="AL53" s="503"/>
      <c r="AM53" s="504"/>
      <c r="AN53" s="508">
        <f>'ISI DATA'!AD11</f>
        <v>0</v>
      </c>
      <c r="AO53" s="503"/>
      <c r="AP53" s="503"/>
      <c r="AQ53" s="503"/>
      <c r="AR53" s="503"/>
      <c r="AS53" s="503"/>
      <c r="AT53" s="820"/>
    </row>
    <row r="54" spans="1:46" s="24" customFormat="1" ht="18" customHeight="1" x14ac:dyDescent="0.35">
      <c r="A54" s="502">
        <f>'ISI DATA'!Y12</f>
        <v>0</v>
      </c>
      <c r="B54" s="503"/>
      <c r="C54" s="504"/>
      <c r="D54" s="508">
        <f>'ISI DATA'!Z12</f>
        <v>0</v>
      </c>
      <c r="E54" s="503"/>
      <c r="F54" s="503"/>
      <c r="G54" s="503"/>
      <c r="H54" s="503"/>
      <c r="I54" s="503"/>
      <c r="J54" s="503"/>
      <c r="K54" s="503"/>
      <c r="L54" s="503"/>
      <c r="M54" s="503"/>
      <c r="N54" s="503"/>
      <c r="O54" s="504"/>
      <c r="P54" s="508">
        <f>'ISI DATA'!AA12</f>
        <v>0</v>
      </c>
      <c r="Q54" s="503"/>
      <c r="R54" s="504"/>
      <c r="S54" s="508">
        <f>'ISI DATA'!AB12</f>
        <v>0</v>
      </c>
      <c r="T54" s="503"/>
      <c r="U54" s="503"/>
      <c r="V54" s="504"/>
      <c r="W54" s="508">
        <f>'ISI DATA'!AC12</f>
        <v>0</v>
      </c>
      <c r="X54" s="503"/>
      <c r="Y54" s="503"/>
      <c r="Z54" s="503"/>
      <c r="AA54" s="503"/>
      <c r="AB54" s="503"/>
      <c r="AC54" s="503"/>
      <c r="AD54" s="503"/>
      <c r="AE54" s="503"/>
      <c r="AF54" s="503"/>
      <c r="AG54" s="503"/>
      <c r="AH54" s="503"/>
      <c r="AI54" s="503"/>
      <c r="AJ54" s="503"/>
      <c r="AK54" s="503"/>
      <c r="AL54" s="503"/>
      <c r="AM54" s="504"/>
      <c r="AN54" s="508">
        <f>'ISI DATA'!AD12</f>
        <v>0</v>
      </c>
      <c r="AO54" s="503"/>
      <c r="AP54" s="503"/>
      <c r="AQ54" s="503"/>
      <c r="AR54" s="503"/>
      <c r="AS54" s="503"/>
      <c r="AT54" s="820"/>
    </row>
    <row r="55" spans="1:46" s="24" customFormat="1" ht="18" customHeight="1" x14ac:dyDescent="0.35">
      <c r="A55" s="502">
        <f>'ISI DATA'!Y13</f>
        <v>0</v>
      </c>
      <c r="B55" s="503"/>
      <c r="C55" s="504"/>
      <c r="D55" s="508">
        <f>'ISI DATA'!Z13</f>
        <v>0</v>
      </c>
      <c r="E55" s="503"/>
      <c r="F55" s="503"/>
      <c r="G55" s="503"/>
      <c r="H55" s="503"/>
      <c r="I55" s="503"/>
      <c r="J55" s="503"/>
      <c r="K55" s="503"/>
      <c r="L55" s="503"/>
      <c r="M55" s="503"/>
      <c r="N55" s="503"/>
      <c r="O55" s="504"/>
      <c r="P55" s="508">
        <f>'ISI DATA'!AA13</f>
        <v>0</v>
      </c>
      <c r="Q55" s="503"/>
      <c r="R55" s="504"/>
      <c r="S55" s="508">
        <f>'ISI DATA'!AB13</f>
        <v>0</v>
      </c>
      <c r="T55" s="503"/>
      <c r="U55" s="503"/>
      <c r="V55" s="504"/>
      <c r="W55" s="508">
        <f>'ISI DATA'!AC13</f>
        <v>0</v>
      </c>
      <c r="X55" s="503"/>
      <c r="Y55" s="503"/>
      <c r="Z55" s="503"/>
      <c r="AA55" s="503"/>
      <c r="AB55" s="503"/>
      <c r="AC55" s="503"/>
      <c r="AD55" s="503"/>
      <c r="AE55" s="503"/>
      <c r="AF55" s="503"/>
      <c r="AG55" s="503"/>
      <c r="AH55" s="503"/>
      <c r="AI55" s="503"/>
      <c r="AJ55" s="503"/>
      <c r="AK55" s="503"/>
      <c r="AL55" s="503"/>
      <c r="AM55" s="504"/>
      <c r="AN55" s="508">
        <f>'ISI DATA'!AD13</f>
        <v>0</v>
      </c>
      <c r="AO55" s="503"/>
      <c r="AP55" s="503"/>
      <c r="AQ55" s="503"/>
      <c r="AR55" s="503"/>
      <c r="AS55" s="503"/>
      <c r="AT55" s="820"/>
    </row>
    <row r="56" spans="1:46" s="24" customFormat="1" ht="18" customHeight="1" thickBot="1" x14ac:dyDescent="0.4">
      <c r="A56" s="502"/>
      <c r="B56" s="503"/>
      <c r="C56" s="504"/>
      <c r="D56" s="508"/>
      <c r="E56" s="503"/>
      <c r="F56" s="503"/>
      <c r="G56" s="503"/>
      <c r="H56" s="503"/>
      <c r="I56" s="503"/>
      <c r="J56" s="503"/>
      <c r="K56" s="503"/>
      <c r="L56" s="503"/>
      <c r="M56" s="503"/>
      <c r="N56" s="503"/>
      <c r="O56" s="504"/>
      <c r="P56" s="508"/>
      <c r="Q56" s="503"/>
      <c r="R56" s="504"/>
      <c r="S56" s="508"/>
      <c r="T56" s="503"/>
      <c r="U56" s="503"/>
      <c r="V56" s="504"/>
      <c r="W56" s="508"/>
      <c r="X56" s="503"/>
      <c r="Y56" s="503"/>
      <c r="Z56" s="503"/>
      <c r="AA56" s="503"/>
      <c r="AB56" s="503"/>
      <c r="AC56" s="503"/>
      <c r="AD56" s="503"/>
      <c r="AE56" s="503"/>
      <c r="AF56" s="503"/>
      <c r="AG56" s="503"/>
      <c r="AH56" s="503"/>
      <c r="AI56" s="503"/>
      <c r="AJ56" s="503"/>
      <c r="AK56" s="503"/>
      <c r="AL56" s="503"/>
      <c r="AM56" s="504"/>
      <c r="AN56" s="508"/>
      <c r="AO56" s="503"/>
      <c r="AP56" s="503"/>
      <c r="AQ56" s="503"/>
      <c r="AR56" s="503"/>
      <c r="AS56" s="503"/>
      <c r="AT56" s="820"/>
    </row>
    <row r="57" spans="1:46" s="24" customFormat="1" ht="20.149999999999999" customHeight="1" x14ac:dyDescent="0.35">
      <c r="A57" s="82" t="s">
        <v>284</v>
      </c>
      <c r="B57" s="18"/>
      <c r="C57" s="18"/>
      <c r="D57" s="83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35"/>
      <c r="W57" s="696" t="s">
        <v>285</v>
      </c>
      <c r="X57" s="697"/>
      <c r="Y57" s="697"/>
      <c r="Z57" s="697"/>
      <c r="AA57" s="697"/>
      <c r="AB57" s="697"/>
      <c r="AC57" s="697"/>
      <c r="AD57" s="697"/>
      <c r="AE57" s="697"/>
      <c r="AF57" s="697"/>
      <c r="AG57" s="698"/>
      <c r="AH57" s="84" t="s">
        <v>286</v>
      </c>
      <c r="AI57" s="85"/>
      <c r="AJ57" s="85"/>
      <c r="AK57" s="85"/>
      <c r="AL57" s="85"/>
      <c r="AM57" s="86"/>
      <c r="AN57" s="523" t="str">
        <f>IF('ISI DATA'!A3="", "", IF('ISI DATA'!A3=0, "", 'ISI DATA'!A3))</f>
        <v/>
      </c>
      <c r="AO57" s="524"/>
      <c r="AP57" s="524"/>
      <c r="AQ57" s="524"/>
      <c r="AR57" s="524"/>
      <c r="AS57" s="524"/>
      <c r="AT57" s="751"/>
    </row>
    <row r="58" spans="1:46" s="24" customFormat="1" ht="20.149999999999999" customHeight="1" x14ac:dyDescent="0.35">
      <c r="A58" s="87"/>
      <c r="V58" s="53"/>
      <c r="W58" s="699"/>
      <c r="X58" s="700"/>
      <c r="Y58" s="700"/>
      <c r="Z58" s="700"/>
      <c r="AA58" s="700"/>
      <c r="AB58" s="700"/>
      <c r="AC58" s="700"/>
      <c r="AD58" s="700"/>
      <c r="AE58" s="700"/>
      <c r="AF58" s="700"/>
      <c r="AG58" s="701"/>
      <c r="AH58" s="60" t="s">
        <v>287</v>
      </c>
      <c r="AI58" s="61"/>
      <c r="AJ58" s="61"/>
      <c r="AK58" s="61"/>
      <c r="AL58" s="61"/>
      <c r="AM58" s="62"/>
      <c r="AN58" s="508"/>
      <c r="AO58" s="503"/>
      <c r="AP58" s="503"/>
      <c r="AQ58" s="503"/>
      <c r="AR58" s="503"/>
      <c r="AS58" s="503"/>
      <c r="AT58" s="820"/>
    </row>
    <row r="59" spans="1:46" s="24" customFormat="1" ht="20.149999999999999" customHeight="1" thickBot="1" x14ac:dyDescent="0.4">
      <c r="A59" s="88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89"/>
      <c r="W59" s="702"/>
      <c r="X59" s="703"/>
      <c r="Y59" s="703"/>
      <c r="Z59" s="703"/>
      <c r="AA59" s="703"/>
      <c r="AB59" s="703"/>
      <c r="AC59" s="703"/>
      <c r="AD59" s="703"/>
      <c r="AE59" s="703"/>
      <c r="AF59" s="703"/>
      <c r="AG59" s="704"/>
      <c r="AH59" s="90" t="s">
        <v>288</v>
      </c>
      <c r="AI59" s="91"/>
      <c r="AJ59" s="91"/>
      <c r="AK59" s="91"/>
      <c r="AL59" s="91"/>
      <c r="AM59" s="92"/>
      <c r="AN59" s="843"/>
      <c r="AO59" s="844"/>
      <c r="AP59" s="844"/>
      <c r="AQ59" s="844"/>
      <c r="AR59" s="844"/>
      <c r="AS59" s="844"/>
      <c r="AT59" s="845"/>
    </row>
  </sheetData>
  <mergeCells count="191">
    <mergeCell ref="AN58:AT58"/>
    <mergeCell ref="AN59:AT59"/>
    <mergeCell ref="AQ36:AT38"/>
    <mergeCell ref="AN54:AT54"/>
    <mergeCell ref="AN55:AT55"/>
    <mergeCell ref="AN56:AT56"/>
    <mergeCell ref="A53:C53"/>
    <mergeCell ref="A54:C54"/>
    <mergeCell ref="AN45:AT45"/>
    <mergeCell ref="AN46:AT46"/>
    <mergeCell ref="AN47:AT47"/>
    <mergeCell ref="AN48:AT48"/>
    <mergeCell ref="AN49:AT49"/>
    <mergeCell ref="AN50:AT50"/>
    <mergeCell ref="AN51:AT51"/>
    <mergeCell ref="AN52:AT52"/>
    <mergeCell ref="AN53:AT53"/>
    <mergeCell ref="S54:V54"/>
    <mergeCell ref="S55:V55"/>
    <mergeCell ref="S56:V56"/>
    <mergeCell ref="W45:AM45"/>
    <mergeCell ref="W46:AM46"/>
    <mergeCell ref="W47:AM47"/>
    <mergeCell ref="W48:AM48"/>
    <mergeCell ref="W49:AM49"/>
    <mergeCell ref="W50:AM50"/>
    <mergeCell ref="W51:AM51"/>
    <mergeCell ref="W52:AM52"/>
    <mergeCell ref="W53:AM53"/>
    <mergeCell ref="W54:AM54"/>
    <mergeCell ref="W55:AM55"/>
    <mergeCell ref="W56:AM56"/>
    <mergeCell ref="D54:O54"/>
    <mergeCell ref="D55:O55"/>
    <mergeCell ref="D56:O56"/>
    <mergeCell ref="P45:R45"/>
    <mergeCell ref="P56:R56"/>
    <mergeCell ref="S45:V45"/>
    <mergeCell ref="P46:R46"/>
    <mergeCell ref="P47:R47"/>
    <mergeCell ref="P48:R48"/>
    <mergeCell ref="P49:R49"/>
    <mergeCell ref="P50:R50"/>
    <mergeCell ref="P51:R51"/>
    <mergeCell ref="P52:R52"/>
    <mergeCell ref="P53:R53"/>
    <mergeCell ref="P54:R54"/>
    <mergeCell ref="P55:R55"/>
    <mergeCell ref="S46:V46"/>
    <mergeCell ref="S47:V47"/>
    <mergeCell ref="S48:V48"/>
    <mergeCell ref="S49:V49"/>
    <mergeCell ref="S50:V50"/>
    <mergeCell ref="S51:V51"/>
    <mergeCell ref="S52:V52"/>
    <mergeCell ref="S53:V53"/>
    <mergeCell ref="D45:O45"/>
    <mergeCell ref="D46:O46"/>
    <mergeCell ref="D47:O47"/>
    <mergeCell ref="D48:O48"/>
    <mergeCell ref="D49:O49"/>
    <mergeCell ref="D50:O50"/>
    <mergeCell ref="D51:O51"/>
    <mergeCell ref="D52:O52"/>
    <mergeCell ref="D53:O53"/>
    <mergeCell ref="A51:C51"/>
    <mergeCell ref="A52:C52"/>
    <mergeCell ref="A55:C55"/>
    <mergeCell ref="A56:C56"/>
    <mergeCell ref="W57:AG59"/>
    <mergeCell ref="N7:U7"/>
    <mergeCell ref="AA7:AH8"/>
    <mergeCell ref="A45:C45"/>
    <mergeCell ref="A46:C46"/>
    <mergeCell ref="A47:C47"/>
    <mergeCell ref="A48:C48"/>
    <mergeCell ref="A49:C49"/>
    <mergeCell ref="A50:C50"/>
    <mergeCell ref="A36:E36"/>
    <mergeCell ref="K36:R36"/>
    <mergeCell ref="S36:Z36"/>
    <mergeCell ref="AA36:AH36"/>
    <mergeCell ref="A18:M25"/>
    <mergeCell ref="N18:AB18"/>
    <mergeCell ref="AC18:AT18"/>
    <mergeCell ref="A26:M27"/>
    <mergeCell ref="A28:M29"/>
    <mergeCell ref="A30:M31"/>
    <mergeCell ref="A14:M17"/>
    <mergeCell ref="AO38:AP38"/>
    <mergeCell ref="A43:C44"/>
    <mergeCell ref="D43:O44"/>
    <mergeCell ref="P43:R44"/>
    <mergeCell ref="W43:AM44"/>
    <mergeCell ref="AN43:AT44"/>
    <mergeCell ref="AC38:AD38"/>
    <mergeCell ref="AE38:AF38"/>
    <mergeCell ref="AG38:AH38"/>
    <mergeCell ref="AI38:AJ38"/>
    <mergeCell ref="AK38:AL38"/>
    <mergeCell ref="AM38:AN38"/>
    <mergeCell ref="AA38:AB38"/>
    <mergeCell ref="A39:D41"/>
    <mergeCell ref="E39:P39"/>
    <mergeCell ref="E40:H40"/>
    <mergeCell ref="J40:P40"/>
    <mergeCell ref="E41:H41"/>
    <mergeCell ref="J41:P41"/>
    <mergeCell ref="Q40:AT41"/>
    <mergeCell ref="AI37:AJ37"/>
    <mergeCell ref="AK37:AL37"/>
    <mergeCell ref="AM37:AN37"/>
    <mergeCell ref="Q37:R37"/>
    <mergeCell ref="S37:T37"/>
    <mergeCell ref="U37:V37"/>
    <mergeCell ref="W37:X37"/>
    <mergeCell ref="Y37:Z37"/>
    <mergeCell ref="AA37:AB37"/>
    <mergeCell ref="O38:P38"/>
    <mergeCell ref="Q38:R38"/>
    <mergeCell ref="S38:T38"/>
    <mergeCell ref="U38:V38"/>
    <mergeCell ref="W38:X38"/>
    <mergeCell ref="Y38:Z38"/>
    <mergeCell ref="AC37:AD37"/>
    <mergeCell ref="AE37:AF37"/>
    <mergeCell ref="AG37:AH37"/>
    <mergeCell ref="O11:W11"/>
    <mergeCell ref="Z11:AH11"/>
    <mergeCell ref="O12:W12"/>
    <mergeCell ref="Z12:AH12"/>
    <mergeCell ref="O13:W13"/>
    <mergeCell ref="Z13:AH13"/>
    <mergeCell ref="AI36:AP36"/>
    <mergeCell ref="A37:E38"/>
    <mergeCell ref="F37:J38"/>
    <mergeCell ref="K37:L37"/>
    <mergeCell ref="M37:N37"/>
    <mergeCell ref="O37:P37"/>
    <mergeCell ref="F32:J32"/>
    <mergeCell ref="B33:E34"/>
    <mergeCell ref="F33:J35"/>
    <mergeCell ref="AE33:AM33"/>
    <mergeCell ref="AN33:AT33"/>
    <mergeCell ref="AE34:AM34"/>
    <mergeCell ref="AN34:AT34"/>
    <mergeCell ref="AE35:AM35"/>
    <mergeCell ref="AN35:AT35"/>
    <mergeCell ref="AO37:AP37"/>
    <mergeCell ref="K38:L38"/>
    <mergeCell ref="M38:N38"/>
    <mergeCell ref="B4:H4"/>
    <mergeCell ref="A5:D5"/>
    <mergeCell ref="E5:I5"/>
    <mergeCell ref="J5:M6"/>
    <mergeCell ref="N5:U6"/>
    <mergeCell ref="V5:Z6"/>
    <mergeCell ref="AA5:AN6"/>
    <mergeCell ref="J8:M8"/>
    <mergeCell ref="N8:U8"/>
    <mergeCell ref="AI8:AN8"/>
    <mergeCell ref="A6:D6"/>
    <mergeCell ref="E6:I6"/>
    <mergeCell ref="A7:I8"/>
    <mergeCell ref="J7:M7"/>
    <mergeCell ref="V7:Z8"/>
    <mergeCell ref="AI7:AN7"/>
    <mergeCell ref="AL15:AT17"/>
    <mergeCell ref="AL12:AT13"/>
    <mergeCell ref="N24:AB25"/>
    <mergeCell ref="AC24:AT25"/>
    <mergeCell ref="N26:AT27"/>
    <mergeCell ref="N28:AT29"/>
    <mergeCell ref="N30:AT31"/>
    <mergeCell ref="AN57:AT57"/>
    <mergeCell ref="J1:AJ2"/>
    <mergeCell ref="J3:AJ4"/>
    <mergeCell ref="A9:M10"/>
    <mergeCell ref="AO7:AT8"/>
    <mergeCell ref="AO5:AT5"/>
    <mergeCell ref="AO6:AT6"/>
    <mergeCell ref="N9:U9"/>
    <mergeCell ref="P14:U14"/>
    <mergeCell ref="AA14:AG14"/>
    <mergeCell ref="P15:U15"/>
    <mergeCell ref="AA15:AG15"/>
    <mergeCell ref="P16:U16"/>
    <mergeCell ref="AA16:AG16"/>
    <mergeCell ref="P17:U17"/>
    <mergeCell ref="AA17:AG17"/>
    <mergeCell ref="A11:M13"/>
  </mergeCells>
  <conditionalFormatting sqref="K38:L38 S38:T38 AA38:AB38 AI38:AJ38">
    <cfRule type="iconSet" priority="1">
      <iconSet reverse="1">
        <cfvo type="percent" val="0"/>
        <cfvo type="num" val="75"/>
        <cfvo type="num" val="80"/>
      </iconSet>
    </cfRule>
  </conditionalFormatting>
  <printOptions horizontalCentered="1" verticalCentered="1"/>
  <pageMargins left="0" right="0" top="0.25" bottom="0.25" header="0.3" footer="0.3"/>
  <pageSetup scale="6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5" r:id="rId4" name="Check Box 13">
              <controlPr defaultSize="0" autoFill="0" autoLine="0" autoPict="0">
                <anchor moveWithCells="1">
                  <from>
                    <xdr:col>13</xdr:col>
                    <xdr:colOff>107950</xdr:colOff>
                    <xdr:row>19</xdr:row>
                    <xdr:rowOff>0</xdr:rowOff>
                  </from>
                  <to>
                    <xdr:col>18</xdr:col>
                    <xdr:colOff>76200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5" name="Check Box 14">
              <controlPr defaultSize="0" autoFill="0" autoLine="0" autoPict="0">
                <anchor moveWithCells="1">
                  <from>
                    <xdr:col>13</xdr:col>
                    <xdr:colOff>107950</xdr:colOff>
                    <xdr:row>20</xdr:row>
                    <xdr:rowOff>0</xdr:rowOff>
                  </from>
                  <to>
                    <xdr:col>18</xdr:col>
                    <xdr:colOff>76200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6" name="Check Box 15">
              <controlPr defaultSize="0" autoFill="0" autoLine="0" autoPict="0">
                <anchor moveWithCells="1">
                  <from>
                    <xdr:col>13</xdr:col>
                    <xdr:colOff>107950</xdr:colOff>
                    <xdr:row>18</xdr:row>
                    <xdr:rowOff>0</xdr:rowOff>
                  </from>
                  <to>
                    <xdr:col>18</xdr:col>
                    <xdr:colOff>69850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7" name="Check Box 18">
              <controlPr defaultSize="0" autoFill="0" autoLine="0" autoPict="0">
                <anchor moveWithCells="1">
                  <from>
                    <xdr:col>20</xdr:col>
                    <xdr:colOff>101600</xdr:colOff>
                    <xdr:row>17</xdr:row>
                    <xdr:rowOff>387350</xdr:rowOff>
                  </from>
                  <to>
                    <xdr:col>27</xdr:col>
                    <xdr:colOff>95250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8" name="Check Box 19">
              <controlPr defaultSize="0" autoFill="0" autoLine="0" autoPict="0">
                <anchor moveWithCells="1">
                  <from>
                    <xdr:col>20</xdr:col>
                    <xdr:colOff>101600</xdr:colOff>
                    <xdr:row>18</xdr:row>
                    <xdr:rowOff>387350</xdr:rowOff>
                  </from>
                  <to>
                    <xdr:col>27</xdr:col>
                    <xdr:colOff>95250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9" name="Check Box 23">
              <controlPr defaultSize="0" autoFill="0" autoLine="0" autoPict="0">
                <anchor moveWithCells="1">
                  <from>
                    <xdr:col>27</xdr:col>
                    <xdr:colOff>196850</xdr:colOff>
                    <xdr:row>19</xdr:row>
                    <xdr:rowOff>0</xdr:rowOff>
                  </from>
                  <to>
                    <xdr:col>34</xdr:col>
                    <xdr:colOff>44450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10" name="Check Box 24">
              <controlPr defaultSize="0" autoFill="0" autoLine="0" autoPict="0">
                <anchor moveWithCells="1">
                  <from>
                    <xdr:col>27</xdr:col>
                    <xdr:colOff>196850</xdr:colOff>
                    <xdr:row>20</xdr:row>
                    <xdr:rowOff>0</xdr:rowOff>
                  </from>
                  <to>
                    <xdr:col>34</xdr:col>
                    <xdr:colOff>44450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11" name="Check Box 25">
              <controlPr defaultSize="0" autoFill="0" autoLine="0" autoPict="0">
                <anchor moveWithCells="1">
                  <from>
                    <xdr:col>27</xdr:col>
                    <xdr:colOff>196850</xdr:colOff>
                    <xdr:row>18</xdr:row>
                    <xdr:rowOff>0</xdr:rowOff>
                  </from>
                  <to>
                    <xdr:col>34</xdr:col>
                    <xdr:colOff>44450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2" name="Check Box 41">
              <controlPr defaultSize="0" autoFill="0" autoLine="0" autoPict="0">
                <anchor moveWithCells="1">
                  <from>
                    <xdr:col>34</xdr:col>
                    <xdr:colOff>152400</xdr:colOff>
                    <xdr:row>19</xdr:row>
                    <xdr:rowOff>0</xdr:rowOff>
                  </from>
                  <to>
                    <xdr:col>40</xdr:col>
                    <xdr:colOff>107950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13" name="Check Box 42">
              <controlPr defaultSize="0" autoFill="0" autoLine="0" autoPict="0">
                <anchor moveWithCells="1">
                  <from>
                    <xdr:col>34</xdr:col>
                    <xdr:colOff>152400</xdr:colOff>
                    <xdr:row>20</xdr:row>
                    <xdr:rowOff>0</xdr:rowOff>
                  </from>
                  <to>
                    <xdr:col>40</xdr:col>
                    <xdr:colOff>107950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14" name="Check Box 43">
              <controlPr defaultSize="0" autoFill="0" autoLine="0" autoPict="0">
                <anchor moveWithCells="1">
                  <from>
                    <xdr:col>34</xdr:col>
                    <xdr:colOff>152400</xdr:colOff>
                    <xdr:row>18</xdr:row>
                    <xdr:rowOff>0</xdr:rowOff>
                  </from>
                  <to>
                    <xdr:col>40</xdr:col>
                    <xdr:colOff>107950</xdr:colOff>
                    <xdr:row>18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5" name="Check Box 56">
              <controlPr defaultSize="0" autoFill="0" autoLine="0" autoPict="0">
                <anchor moveWithCells="1">
                  <from>
                    <xdr:col>40</xdr:col>
                    <xdr:colOff>260350</xdr:colOff>
                    <xdr:row>18</xdr:row>
                    <xdr:rowOff>0</xdr:rowOff>
                  </from>
                  <to>
                    <xdr:col>45</xdr:col>
                    <xdr:colOff>139700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6" name="Check Box 57">
              <controlPr defaultSize="0" autoFill="0" autoLine="0" autoPict="0">
                <anchor moveWithCells="1">
                  <from>
                    <xdr:col>40</xdr:col>
                    <xdr:colOff>260350</xdr:colOff>
                    <xdr:row>19</xdr:row>
                    <xdr:rowOff>0</xdr:rowOff>
                  </from>
                  <to>
                    <xdr:col>45</xdr:col>
                    <xdr:colOff>139700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7" name="Check Box 58">
              <controlPr defaultSize="0" autoFill="0" autoLine="0" autoPict="0">
                <anchor moveWithCells="1">
                  <from>
                    <xdr:col>40</xdr:col>
                    <xdr:colOff>260350</xdr:colOff>
                    <xdr:row>20</xdr:row>
                    <xdr:rowOff>0</xdr:rowOff>
                  </from>
                  <to>
                    <xdr:col>45</xdr:col>
                    <xdr:colOff>139700</xdr:colOff>
                    <xdr:row>20</xdr:row>
                    <xdr:rowOff>228600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FBFEAF2-AA31-4A04-9998-641C0153AF3E}">
            <x14:iconSet iconSet="4RedToBlack" custom="1">
              <x14:cfvo type="percent">
                <xm:f>0</xm:f>
              </x14:cfvo>
              <x14:cfvo type="num">
                <xm:f>2.2999999999999998</xm:f>
              </x14:cfvo>
              <x14:cfvo type="num">
                <xm:f>4.5</xm:f>
              </x14:cfvo>
              <x14:cfvo type="num">
                <xm:f>7.1</xm:f>
              </x14:cfvo>
              <x14:cfIcon iconSet="3Stars" iconId="2"/>
              <x14:cfIcon iconSet="3Symbols" iconId="2"/>
              <x14:cfIcon iconSet="3Symbols" iconId="1"/>
              <x14:cfIcon iconSet="3Symbols" iconId="0"/>
            </x14:iconSet>
          </x14:cfRule>
          <xm:sqref>K38:AP38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B79A-FBD8-472B-8775-2EF1507597E7}">
  <sheetPr>
    <tabColor rgb="FF00B050"/>
  </sheetPr>
  <dimension ref="A1:AK75"/>
  <sheetViews>
    <sheetView view="pageBreakPreview" zoomScale="85" zoomScaleNormal="85" zoomScaleSheetLayoutView="85" workbookViewId="0">
      <selection activeCell="K7" sqref="K7:N8"/>
    </sheetView>
  </sheetViews>
  <sheetFormatPr defaultColWidth="3.7265625" defaultRowHeight="12.5" x14ac:dyDescent="0.25"/>
  <cols>
    <col min="1" max="3" width="3.7265625" style="117" customWidth="1"/>
    <col min="4" max="4" width="4.81640625" style="117" customWidth="1"/>
    <col min="5" max="11" width="3" style="117" customWidth="1"/>
    <col min="12" max="12" width="5.26953125" style="117" customWidth="1"/>
    <col min="13" max="13" width="3" style="117" customWidth="1"/>
    <col min="14" max="14" width="3.81640625" style="117" customWidth="1"/>
    <col min="15" max="15" width="6.26953125" style="117" customWidth="1"/>
    <col min="16" max="16" width="3" style="117" customWidth="1"/>
    <col min="17" max="17" width="5.1796875" style="117" customWidth="1"/>
    <col min="18" max="19" width="3" style="117" customWidth="1"/>
    <col min="20" max="20" width="6.6328125" style="117" customWidth="1"/>
    <col min="21" max="21" width="3" style="117" customWidth="1"/>
    <col min="22" max="22" width="5.81640625" style="117" customWidth="1"/>
    <col min="23" max="23" width="1.54296875" style="117" bestFit="1" customWidth="1"/>
    <col min="24" max="24" width="3" style="117" customWidth="1"/>
    <col min="25" max="25" width="4.54296875" style="117" customWidth="1"/>
    <col min="26" max="26" width="5.81640625" style="117" customWidth="1"/>
    <col min="27" max="28" width="4.7265625" style="117" customWidth="1"/>
    <col min="29" max="36" width="3" style="117" customWidth="1"/>
    <col min="37" max="37" width="5.54296875" style="117" customWidth="1"/>
    <col min="38" max="261" width="3.7265625" style="117"/>
    <col min="262" max="262" width="4.81640625" style="117" customWidth="1"/>
    <col min="263" max="269" width="3" style="117" customWidth="1"/>
    <col min="270" max="270" width="5.26953125" style="117" customWidth="1"/>
    <col min="271" max="280" width="3" style="117" customWidth="1"/>
    <col min="281" max="281" width="4.54296875" style="117" customWidth="1"/>
    <col min="282" max="282" width="5.81640625" style="117" customWidth="1"/>
    <col min="283" max="284" width="4.7265625" style="117" customWidth="1"/>
    <col min="285" max="292" width="3" style="117" customWidth="1"/>
    <col min="293" max="293" width="5.54296875" style="117" customWidth="1"/>
    <col min="294" max="517" width="3.7265625" style="117"/>
    <col min="518" max="518" width="4.81640625" style="117" customWidth="1"/>
    <col min="519" max="525" width="3" style="117" customWidth="1"/>
    <col min="526" max="526" width="5.26953125" style="117" customWidth="1"/>
    <col min="527" max="536" width="3" style="117" customWidth="1"/>
    <col min="537" max="537" width="4.54296875" style="117" customWidth="1"/>
    <col min="538" max="538" width="5.81640625" style="117" customWidth="1"/>
    <col min="539" max="540" width="4.7265625" style="117" customWidth="1"/>
    <col min="541" max="548" width="3" style="117" customWidth="1"/>
    <col min="549" max="549" width="5.54296875" style="117" customWidth="1"/>
    <col min="550" max="773" width="3.7265625" style="117"/>
    <col min="774" max="774" width="4.81640625" style="117" customWidth="1"/>
    <col min="775" max="781" width="3" style="117" customWidth="1"/>
    <col min="782" max="782" width="5.26953125" style="117" customWidth="1"/>
    <col min="783" max="792" width="3" style="117" customWidth="1"/>
    <col min="793" max="793" width="4.54296875" style="117" customWidth="1"/>
    <col min="794" max="794" width="5.81640625" style="117" customWidth="1"/>
    <col min="795" max="796" width="4.7265625" style="117" customWidth="1"/>
    <col min="797" max="804" width="3" style="117" customWidth="1"/>
    <col min="805" max="805" width="5.54296875" style="117" customWidth="1"/>
    <col min="806" max="1029" width="3.7265625" style="117"/>
    <col min="1030" max="1030" width="4.81640625" style="117" customWidth="1"/>
    <col min="1031" max="1037" width="3" style="117" customWidth="1"/>
    <col min="1038" max="1038" width="5.26953125" style="117" customWidth="1"/>
    <col min="1039" max="1048" width="3" style="117" customWidth="1"/>
    <col min="1049" max="1049" width="4.54296875" style="117" customWidth="1"/>
    <col min="1050" max="1050" width="5.81640625" style="117" customWidth="1"/>
    <col min="1051" max="1052" width="4.7265625" style="117" customWidth="1"/>
    <col min="1053" max="1060" width="3" style="117" customWidth="1"/>
    <col min="1061" max="1061" width="5.54296875" style="117" customWidth="1"/>
    <col min="1062" max="1285" width="3.7265625" style="117"/>
    <col min="1286" max="1286" width="4.81640625" style="117" customWidth="1"/>
    <col min="1287" max="1293" width="3" style="117" customWidth="1"/>
    <col min="1294" max="1294" width="5.26953125" style="117" customWidth="1"/>
    <col min="1295" max="1304" width="3" style="117" customWidth="1"/>
    <col min="1305" max="1305" width="4.54296875" style="117" customWidth="1"/>
    <col min="1306" max="1306" width="5.81640625" style="117" customWidth="1"/>
    <col min="1307" max="1308" width="4.7265625" style="117" customWidth="1"/>
    <col min="1309" max="1316" width="3" style="117" customWidth="1"/>
    <col min="1317" max="1317" width="5.54296875" style="117" customWidth="1"/>
    <col min="1318" max="1541" width="3.7265625" style="117"/>
    <col min="1542" max="1542" width="4.81640625" style="117" customWidth="1"/>
    <col min="1543" max="1549" width="3" style="117" customWidth="1"/>
    <col min="1550" max="1550" width="5.26953125" style="117" customWidth="1"/>
    <col min="1551" max="1560" width="3" style="117" customWidth="1"/>
    <col min="1561" max="1561" width="4.54296875" style="117" customWidth="1"/>
    <col min="1562" max="1562" width="5.81640625" style="117" customWidth="1"/>
    <col min="1563" max="1564" width="4.7265625" style="117" customWidth="1"/>
    <col min="1565" max="1572" width="3" style="117" customWidth="1"/>
    <col min="1573" max="1573" width="5.54296875" style="117" customWidth="1"/>
    <col min="1574" max="1797" width="3.7265625" style="117"/>
    <col min="1798" max="1798" width="4.81640625" style="117" customWidth="1"/>
    <col min="1799" max="1805" width="3" style="117" customWidth="1"/>
    <col min="1806" max="1806" width="5.26953125" style="117" customWidth="1"/>
    <col min="1807" max="1816" width="3" style="117" customWidth="1"/>
    <col min="1817" max="1817" width="4.54296875" style="117" customWidth="1"/>
    <col min="1818" max="1818" width="5.81640625" style="117" customWidth="1"/>
    <col min="1819" max="1820" width="4.7265625" style="117" customWidth="1"/>
    <col min="1821" max="1828" width="3" style="117" customWidth="1"/>
    <col min="1829" max="1829" width="5.54296875" style="117" customWidth="1"/>
    <col min="1830" max="2053" width="3.7265625" style="117"/>
    <col min="2054" max="2054" width="4.81640625" style="117" customWidth="1"/>
    <col min="2055" max="2061" width="3" style="117" customWidth="1"/>
    <col min="2062" max="2062" width="5.26953125" style="117" customWidth="1"/>
    <col min="2063" max="2072" width="3" style="117" customWidth="1"/>
    <col min="2073" max="2073" width="4.54296875" style="117" customWidth="1"/>
    <col min="2074" max="2074" width="5.81640625" style="117" customWidth="1"/>
    <col min="2075" max="2076" width="4.7265625" style="117" customWidth="1"/>
    <col min="2077" max="2084" width="3" style="117" customWidth="1"/>
    <col min="2085" max="2085" width="5.54296875" style="117" customWidth="1"/>
    <col min="2086" max="2309" width="3.7265625" style="117"/>
    <col min="2310" max="2310" width="4.81640625" style="117" customWidth="1"/>
    <col min="2311" max="2317" width="3" style="117" customWidth="1"/>
    <col min="2318" max="2318" width="5.26953125" style="117" customWidth="1"/>
    <col min="2319" max="2328" width="3" style="117" customWidth="1"/>
    <col min="2329" max="2329" width="4.54296875" style="117" customWidth="1"/>
    <col min="2330" max="2330" width="5.81640625" style="117" customWidth="1"/>
    <col min="2331" max="2332" width="4.7265625" style="117" customWidth="1"/>
    <col min="2333" max="2340" width="3" style="117" customWidth="1"/>
    <col min="2341" max="2341" width="5.54296875" style="117" customWidth="1"/>
    <col min="2342" max="2565" width="3.7265625" style="117"/>
    <col min="2566" max="2566" width="4.81640625" style="117" customWidth="1"/>
    <col min="2567" max="2573" width="3" style="117" customWidth="1"/>
    <col min="2574" max="2574" width="5.26953125" style="117" customWidth="1"/>
    <col min="2575" max="2584" width="3" style="117" customWidth="1"/>
    <col min="2585" max="2585" width="4.54296875" style="117" customWidth="1"/>
    <col min="2586" max="2586" width="5.81640625" style="117" customWidth="1"/>
    <col min="2587" max="2588" width="4.7265625" style="117" customWidth="1"/>
    <col min="2589" max="2596" width="3" style="117" customWidth="1"/>
    <col min="2597" max="2597" width="5.54296875" style="117" customWidth="1"/>
    <col min="2598" max="2821" width="3.7265625" style="117"/>
    <col min="2822" max="2822" width="4.81640625" style="117" customWidth="1"/>
    <col min="2823" max="2829" width="3" style="117" customWidth="1"/>
    <col min="2830" max="2830" width="5.26953125" style="117" customWidth="1"/>
    <col min="2831" max="2840" width="3" style="117" customWidth="1"/>
    <col min="2841" max="2841" width="4.54296875" style="117" customWidth="1"/>
    <col min="2842" max="2842" width="5.81640625" style="117" customWidth="1"/>
    <col min="2843" max="2844" width="4.7265625" style="117" customWidth="1"/>
    <col min="2845" max="2852" width="3" style="117" customWidth="1"/>
    <col min="2853" max="2853" width="5.54296875" style="117" customWidth="1"/>
    <col min="2854" max="3077" width="3.7265625" style="117"/>
    <col min="3078" max="3078" width="4.81640625" style="117" customWidth="1"/>
    <col min="3079" max="3085" width="3" style="117" customWidth="1"/>
    <col min="3086" max="3086" width="5.26953125" style="117" customWidth="1"/>
    <col min="3087" max="3096" width="3" style="117" customWidth="1"/>
    <col min="3097" max="3097" width="4.54296875" style="117" customWidth="1"/>
    <col min="3098" max="3098" width="5.81640625" style="117" customWidth="1"/>
    <col min="3099" max="3100" width="4.7265625" style="117" customWidth="1"/>
    <col min="3101" max="3108" width="3" style="117" customWidth="1"/>
    <col min="3109" max="3109" width="5.54296875" style="117" customWidth="1"/>
    <col min="3110" max="3333" width="3.7265625" style="117"/>
    <col min="3334" max="3334" width="4.81640625" style="117" customWidth="1"/>
    <col min="3335" max="3341" width="3" style="117" customWidth="1"/>
    <col min="3342" max="3342" width="5.26953125" style="117" customWidth="1"/>
    <col min="3343" max="3352" width="3" style="117" customWidth="1"/>
    <col min="3353" max="3353" width="4.54296875" style="117" customWidth="1"/>
    <col min="3354" max="3354" width="5.81640625" style="117" customWidth="1"/>
    <col min="3355" max="3356" width="4.7265625" style="117" customWidth="1"/>
    <col min="3357" max="3364" width="3" style="117" customWidth="1"/>
    <col min="3365" max="3365" width="5.54296875" style="117" customWidth="1"/>
    <col min="3366" max="3589" width="3.7265625" style="117"/>
    <col min="3590" max="3590" width="4.81640625" style="117" customWidth="1"/>
    <col min="3591" max="3597" width="3" style="117" customWidth="1"/>
    <col min="3598" max="3598" width="5.26953125" style="117" customWidth="1"/>
    <col min="3599" max="3608" width="3" style="117" customWidth="1"/>
    <col min="3609" max="3609" width="4.54296875" style="117" customWidth="1"/>
    <col min="3610" max="3610" width="5.81640625" style="117" customWidth="1"/>
    <col min="3611" max="3612" width="4.7265625" style="117" customWidth="1"/>
    <col min="3613" max="3620" width="3" style="117" customWidth="1"/>
    <col min="3621" max="3621" width="5.54296875" style="117" customWidth="1"/>
    <col min="3622" max="3845" width="3.7265625" style="117"/>
    <col min="3846" max="3846" width="4.81640625" style="117" customWidth="1"/>
    <col min="3847" max="3853" width="3" style="117" customWidth="1"/>
    <col min="3854" max="3854" width="5.26953125" style="117" customWidth="1"/>
    <col min="3855" max="3864" width="3" style="117" customWidth="1"/>
    <col min="3865" max="3865" width="4.54296875" style="117" customWidth="1"/>
    <col min="3866" max="3866" width="5.81640625" style="117" customWidth="1"/>
    <col min="3867" max="3868" width="4.7265625" style="117" customWidth="1"/>
    <col min="3869" max="3876" width="3" style="117" customWidth="1"/>
    <col min="3877" max="3877" width="5.54296875" style="117" customWidth="1"/>
    <col min="3878" max="4101" width="3.7265625" style="117"/>
    <col min="4102" max="4102" width="4.81640625" style="117" customWidth="1"/>
    <col min="4103" max="4109" width="3" style="117" customWidth="1"/>
    <col min="4110" max="4110" width="5.26953125" style="117" customWidth="1"/>
    <col min="4111" max="4120" width="3" style="117" customWidth="1"/>
    <col min="4121" max="4121" width="4.54296875" style="117" customWidth="1"/>
    <col min="4122" max="4122" width="5.81640625" style="117" customWidth="1"/>
    <col min="4123" max="4124" width="4.7265625" style="117" customWidth="1"/>
    <col min="4125" max="4132" width="3" style="117" customWidth="1"/>
    <col min="4133" max="4133" width="5.54296875" style="117" customWidth="1"/>
    <col min="4134" max="4357" width="3.7265625" style="117"/>
    <col min="4358" max="4358" width="4.81640625" style="117" customWidth="1"/>
    <col min="4359" max="4365" width="3" style="117" customWidth="1"/>
    <col min="4366" max="4366" width="5.26953125" style="117" customWidth="1"/>
    <col min="4367" max="4376" width="3" style="117" customWidth="1"/>
    <col min="4377" max="4377" width="4.54296875" style="117" customWidth="1"/>
    <col min="4378" max="4378" width="5.81640625" style="117" customWidth="1"/>
    <col min="4379" max="4380" width="4.7265625" style="117" customWidth="1"/>
    <col min="4381" max="4388" width="3" style="117" customWidth="1"/>
    <col min="4389" max="4389" width="5.54296875" style="117" customWidth="1"/>
    <col min="4390" max="4613" width="3.7265625" style="117"/>
    <col min="4614" max="4614" width="4.81640625" style="117" customWidth="1"/>
    <col min="4615" max="4621" width="3" style="117" customWidth="1"/>
    <col min="4622" max="4622" width="5.26953125" style="117" customWidth="1"/>
    <col min="4623" max="4632" width="3" style="117" customWidth="1"/>
    <col min="4633" max="4633" width="4.54296875" style="117" customWidth="1"/>
    <col min="4634" max="4634" width="5.81640625" style="117" customWidth="1"/>
    <col min="4635" max="4636" width="4.7265625" style="117" customWidth="1"/>
    <col min="4637" max="4644" width="3" style="117" customWidth="1"/>
    <col min="4645" max="4645" width="5.54296875" style="117" customWidth="1"/>
    <col min="4646" max="4869" width="3.7265625" style="117"/>
    <col min="4870" max="4870" width="4.81640625" style="117" customWidth="1"/>
    <col min="4871" max="4877" width="3" style="117" customWidth="1"/>
    <col min="4878" max="4878" width="5.26953125" style="117" customWidth="1"/>
    <col min="4879" max="4888" width="3" style="117" customWidth="1"/>
    <col min="4889" max="4889" width="4.54296875" style="117" customWidth="1"/>
    <col min="4890" max="4890" width="5.81640625" style="117" customWidth="1"/>
    <col min="4891" max="4892" width="4.7265625" style="117" customWidth="1"/>
    <col min="4893" max="4900" width="3" style="117" customWidth="1"/>
    <col min="4901" max="4901" width="5.54296875" style="117" customWidth="1"/>
    <col min="4902" max="5125" width="3.7265625" style="117"/>
    <col min="5126" max="5126" width="4.81640625" style="117" customWidth="1"/>
    <col min="5127" max="5133" width="3" style="117" customWidth="1"/>
    <col min="5134" max="5134" width="5.26953125" style="117" customWidth="1"/>
    <col min="5135" max="5144" width="3" style="117" customWidth="1"/>
    <col min="5145" max="5145" width="4.54296875" style="117" customWidth="1"/>
    <col min="5146" max="5146" width="5.81640625" style="117" customWidth="1"/>
    <col min="5147" max="5148" width="4.7265625" style="117" customWidth="1"/>
    <col min="5149" max="5156" width="3" style="117" customWidth="1"/>
    <col min="5157" max="5157" width="5.54296875" style="117" customWidth="1"/>
    <col min="5158" max="5381" width="3.7265625" style="117"/>
    <col min="5382" max="5382" width="4.81640625" style="117" customWidth="1"/>
    <col min="5383" max="5389" width="3" style="117" customWidth="1"/>
    <col min="5390" max="5390" width="5.26953125" style="117" customWidth="1"/>
    <col min="5391" max="5400" width="3" style="117" customWidth="1"/>
    <col min="5401" max="5401" width="4.54296875" style="117" customWidth="1"/>
    <col min="5402" max="5402" width="5.81640625" style="117" customWidth="1"/>
    <col min="5403" max="5404" width="4.7265625" style="117" customWidth="1"/>
    <col min="5405" max="5412" width="3" style="117" customWidth="1"/>
    <col min="5413" max="5413" width="5.54296875" style="117" customWidth="1"/>
    <col min="5414" max="5637" width="3.7265625" style="117"/>
    <col min="5638" max="5638" width="4.81640625" style="117" customWidth="1"/>
    <col min="5639" max="5645" width="3" style="117" customWidth="1"/>
    <col min="5646" max="5646" width="5.26953125" style="117" customWidth="1"/>
    <col min="5647" max="5656" width="3" style="117" customWidth="1"/>
    <col min="5657" max="5657" width="4.54296875" style="117" customWidth="1"/>
    <col min="5658" max="5658" width="5.81640625" style="117" customWidth="1"/>
    <col min="5659" max="5660" width="4.7265625" style="117" customWidth="1"/>
    <col min="5661" max="5668" width="3" style="117" customWidth="1"/>
    <col min="5669" max="5669" width="5.54296875" style="117" customWidth="1"/>
    <col min="5670" max="5893" width="3.7265625" style="117"/>
    <col min="5894" max="5894" width="4.81640625" style="117" customWidth="1"/>
    <col min="5895" max="5901" width="3" style="117" customWidth="1"/>
    <col min="5902" max="5902" width="5.26953125" style="117" customWidth="1"/>
    <col min="5903" max="5912" width="3" style="117" customWidth="1"/>
    <col min="5913" max="5913" width="4.54296875" style="117" customWidth="1"/>
    <col min="5914" max="5914" width="5.81640625" style="117" customWidth="1"/>
    <col min="5915" max="5916" width="4.7265625" style="117" customWidth="1"/>
    <col min="5917" max="5924" width="3" style="117" customWidth="1"/>
    <col min="5925" max="5925" width="5.54296875" style="117" customWidth="1"/>
    <col min="5926" max="6149" width="3.7265625" style="117"/>
    <col min="6150" max="6150" width="4.81640625" style="117" customWidth="1"/>
    <col min="6151" max="6157" width="3" style="117" customWidth="1"/>
    <col min="6158" max="6158" width="5.26953125" style="117" customWidth="1"/>
    <col min="6159" max="6168" width="3" style="117" customWidth="1"/>
    <col min="6169" max="6169" width="4.54296875" style="117" customWidth="1"/>
    <col min="6170" max="6170" width="5.81640625" style="117" customWidth="1"/>
    <col min="6171" max="6172" width="4.7265625" style="117" customWidth="1"/>
    <col min="6173" max="6180" width="3" style="117" customWidth="1"/>
    <col min="6181" max="6181" width="5.54296875" style="117" customWidth="1"/>
    <col min="6182" max="6405" width="3.7265625" style="117"/>
    <col min="6406" max="6406" width="4.81640625" style="117" customWidth="1"/>
    <col min="6407" max="6413" width="3" style="117" customWidth="1"/>
    <col min="6414" max="6414" width="5.26953125" style="117" customWidth="1"/>
    <col min="6415" max="6424" width="3" style="117" customWidth="1"/>
    <col min="6425" max="6425" width="4.54296875" style="117" customWidth="1"/>
    <col min="6426" max="6426" width="5.81640625" style="117" customWidth="1"/>
    <col min="6427" max="6428" width="4.7265625" style="117" customWidth="1"/>
    <col min="6429" max="6436" width="3" style="117" customWidth="1"/>
    <col min="6437" max="6437" width="5.54296875" style="117" customWidth="1"/>
    <col min="6438" max="6661" width="3.7265625" style="117"/>
    <col min="6662" max="6662" width="4.81640625" style="117" customWidth="1"/>
    <col min="6663" max="6669" width="3" style="117" customWidth="1"/>
    <col min="6670" max="6670" width="5.26953125" style="117" customWidth="1"/>
    <col min="6671" max="6680" width="3" style="117" customWidth="1"/>
    <col min="6681" max="6681" width="4.54296875" style="117" customWidth="1"/>
    <col min="6682" max="6682" width="5.81640625" style="117" customWidth="1"/>
    <col min="6683" max="6684" width="4.7265625" style="117" customWidth="1"/>
    <col min="6685" max="6692" width="3" style="117" customWidth="1"/>
    <col min="6693" max="6693" width="5.54296875" style="117" customWidth="1"/>
    <col min="6694" max="6917" width="3.7265625" style="117"/>
    <col min="6918" max="6918" width="4.81640625" style="117" customWidth="1"/>
    <col min="6919" max="6925" width="3" style="117" customWidth="1"/>
    <col min="6926" max="6926" width="5.26953125" style="117" customWidth="1"/>
    <col min="6927" max="6936" width="3" style="117" customWidth="1"/>
    <col min="6937" max="6937" width="4.54296875" style="117" customWidth="1"/>
    <col min="6938" max="6938" width="5.81640625" style="117" customWidth="1"/>
    <col min="6939" max="6940" width="4.7265625" style="117" customWidth="1"/>
    <col min="6941" max="6948" width="3" style="117" customWidth="1"/>
    <col min="6949" max="6949" width="5.54296875" style="117" customWidth="1"/>
    <col min="6950" max="7173" width="3.7265625" style="117"/>
    <col min="7174" max="7174" width="4.81640625" style="117" customWidth="1"/>
    <col min="7175" max="7181" width="3" style="117" customWidth="1"/>
    <col min="7182" max="7182" width="5.26953125" style="117" customWidth="1"/>
    <col min="7183" max="7192" width="3" style="117" customWidth="1"/>
    <col min="7193" max="7193" width="4.54296875" style="117" customWidth="1"/>
    <col min="7194" max="7194" width="5.81640625" style="117" customWidth="1"/>
    <col min="7195" max="7196" width="4.7265625" style="117" customWidth="1"/>
    <col min="7197" max="7204" width="3" style="117" customWidth="1"/>
    <col min="7205" max="7205" width="5.54296875" style="117" customWidth="1"/>
    <col min="7206" max="7429" width="3.7265625" style="117"/>
    <col min="7430" max="7430" width="4.81640625" style="117" customWidth="1"/>
    <col min="7431" max="7437" width="3" style="117" customWidth="1"/>
    <col min="7438" max="7438" width="5.26953125" style="117" customWidth="1"/>
    <col min="7439" max="7448" width="3" style="117" customWidth="1"/>
    <col min="7449" max="7449" width="4.54296875" style="117" customWidth="1"/>
    <col min="7450" max="7450" width="5.81640625" style="117" customWidth="1"/>
    <col min="7451" max="7452" width="4.7265625" style="117" customWidth="1"/>
    <col min="7453" max="7460" width="3" style="117" customWidth="1"/>
    <col min="7461" max="7461" width="5.54296875" style="117" customWidth="1"/>
    <col min="7462" max="7685" width="3.7265625" style="117"/>
    <col min="7686" max="7686" width="4.81640625" style="117" customWidth="1"/>
    <col min="7687" max="7693" width="3" style="117" customWidth="1"/>
    <col min="7694" max="7694" width="5.26953125" style="117" customWidth="1"/>
    <col min="7695" max="7704" width="3" style="117" customWidth="1"/>
    <col min="7705" max="7705" width="4.54296875" style="117" customWidth="1"/>
    <col min="7706" max="7706" width="5.81640625" style="117" customWidth="1"/>
    <col min="7707" max="7708" width="4.7265625" style="117" customWidth="1"/>
    <col min="7709" max="7716" width="3" style="117" customWidth="1"/>
    <col min="7717" max="7717" width="5.54296875" style="117" customWidth="1"/>
    <col min="7718" max="7941" width="3.7265625" style="117"/>
    <col min="7942" max="7942" width="4.81640625" style="117" customWidth="1"/>
    <col min="7943" max="7949" width="3" style="117" customWidth="1"/>
    <col min="7950" max="7950" width="5.26953125" style="117" customWidth="1"/>
    <col min="7951" max="7960" width="3" style="117" customWidth="1"/>
    <col min="7961" max="7961" width="4.54296875" style="117" customWidth="1"/>
    <col min="7962" max="7962" width="5.81640625" style="117" customWidth="1"/>
    <col min="7963" max="7964" width="4.7265625" style="117" customWidth="1"/>
    <col min="7965" max="7972" width="3" style="117" customWidth="1"/>
    <col min="7973" max="7973" width="5.54296875" style="117" customWidth="1"/>
    <col min="7974" max="8197" width="3.7265625" style="117"/>
    <col min="8198" max="8198" width="4.81640625" style="117" customWidth="1"/>
    <col min="8199" max="8205" width="3" style="117" customWidth="1"/>
    <col min="8206" max="8206" width="5.26953125" style="117" customWidth="1"/>
    <col min="8207" max="8216" width="3" style="117" customWidth="1"/>
    <col min="8217" max="8217" width="4.54296875" style="117" customWidth="1"/>
    <col min="8218" max="8218" width="5.81640625" style="117" customWidth="1"/>
    <col min="8219" max="8220" width="4.7265625" style="117" customWidth="1"/>
    <col min="8221" max="8228" width="3" style="117" customWidth="1"/>
    <col min="8229" max="8229" width="5.54296875" style="117" customWidth="1"/>
    <col min="8230" max="8453" width="3.7265625" style="117"/>
    <col min="8454" max="8454" width="4.81640625" style="117" customWidth="1"/>
    <col min="8455" max="8461" width="3" style="117" customWidth="1"/>
    <col min="8462" max="8462" width="5.26953125" style="117" customWidth="1"/>
    <col min="8463" max="8472" width="3" style="117" customWidth="1"/>
    <col min="8473" max="8473" width="4.54296875" style="117" customWidth="1"/>
    <col min="8474" max="8474" width="5.81640625" style="117" customWidth="1"/>
    <col min="8475" max="8476" width="4.7265625" style="117" customWidth="1"/>
    <col min="8477" max="8484" width="3" style="117" customWidth="1"/>
    <col min="8485" max="8485" width="5.54296875" style="117" customWidth="1"/>
    <col min="8486" max="8709" width="3.7265625" style="117"/>
    <col min="8710" max="8710" width="4.81640625" style="117" customWidth="1"/>
    <col min="8711" max="8717" width="3" style="117" customWidth="1"/>
    <col min="8718" max="8718" width="5.26953125" style="117" customWidth="1"/>
    <col min="8719" max="8728" width="3" style="117" customWidth="1"/>
    <col min="8729" max="8729" width="4.54296875" style="117" customWidth="1"/>
    <col min="8730" max="8730" width="5.81640625" style="117" customWidth="1"/>
    <col min="8731" max="8732" width="4.7265625" style="117" customWidth="1"/>
    <col min="8733" max="8740" width="3" style="117" customWidth="1"/>
    <col min="8741" max="8741" width="5.54296875" style="117" customWidth="1"/>
    <col min="8742" max="8965" width="3.7265625" style="117"/>
    <col min="8966" max="8966" width="4.81640625" style="117" customWidth="1"/>
    <col min="8967" max="8973" width="3" style="117" customWidth="1"/>
    <col min="8974" max="8974" width="5.26953125" style="117" customWidth="1"/>
    <col min="8975" max="8984" width="3" style="117" customWidth="1"/>
    <col min="8985" max="8985" width="4.54296875" style="117" customWidth="1"/>
    <col min="8986" max="8986" width="5.81640625" style="117" customWidth="1"/>
    <col min="8987" max="8988" width="4.7265625" style="117" customWidth="1"/>
    <col min="8989" max="8996" width="3" style="117" customWidth="1"/>
    <col min="8997" max="8997" width="5.54296875" style="117" customWidth="1"/>
    <col min="8998" max="9221" width="3.7265625" style="117"/>
    <col min="9222" max="9222" width="4.81640625" style="117" customWidth="1"/>
    <col min="9223" max="9229" width="3" style="117" customWidth="1"/>
    <col min="9230" max="9230" width="5.26953125" style="117" customWidth="1"/>
    <col min="9231" max="9240" width="3" style="117" customWidth="1"/>
    <col min="9241" max="9241" width="4.54296875" style="117" customWidth="1"/>
    <col min="9242" max="9242" width="5.81640625" style="117" customWidth="1"/>
    <col min="9243" max="9244" width="4.7265625" style="117" customWidth="1"/>
    <col min="9245" max="9252" width="3" style="117" customWidth="1"/>
    <col min="9253" max="9253" width="5.54296875" style="117" customWidth="1"/>
    <col min="9254" max="9477" width="3.7265625" style="117"/>
    <col min="9478" max="9478" width="4.81640625" style="117" customWidth="1"/>
    <col min="9479" max="9485" width="3" style="117" customWidth="1"/>
    <col min="9486" max="9486" width="5.26953125" style="117" customWidth="1"/>
    <col min="9487" max="9496" width="3" style="117" customWidth="1"/>
    <col min="9497" max="9497" width="4.54296875" style="117" customWidth="1"/>
    <col min="9498" max="9498" width="5.81640625" style="117" customWidth="1"/>
    <col min="9499" max="9500" width="4.7265625" style="117" customWidth="1"/>
    <col min="9501" max="9508" width="3" style="117" customWidth="1"/>
    <col min="9509" max="9509" width="5.54296875" style="117" customWidth="1"/>
    <col min="9510" max="9733" width="3.7265625" style="117"/>
    <col min="9734" max="9734" width="4.81640625" style="117" customWidth="1"/>
    <col min="9735" max="9741" width="3" style="117" customWidth="1"/>
    <col min="9742" max="9742" width="5.26953125" style="117" customWidth="1"/>
    <col min="9743" max="9752" width="3" style="117" customWidth="1"/>
    <col min="9753" max="9753" width="4.54296875" style="117" customWidth="1"/>
    <col min="9754" max="9754" width="5.81640625" style="117" customWidth="1"/>
    <col min="9755" max="9756" width="4.7265625" style="117" customWidth="1"/>
    <col min="9757" max="9764" width="3" style="117" customWidth="1"/>
    <col min="9765" max="9765" width="5.54296875" style="117" customWidth="1"/>
    <col min="9766" max="9989" width="3.7265625" style="117"/>
    <col min="9990" max="9990" width="4.81640625" style="117" customWidth="1"/>
    <col min="9991" max="9997" width="3" style="117" customWidth="1"/>
    <col min="9998" max="9998" width="5.26953125" style="117" customWidth="1"/>
    <col min="9999" max="10008" width="3" style="117" customWidth="1"/>
    <col min="10009" max="10009" width="4.54296875" style="117" customWidth="1"/>
    <col min="10010" max="10010" width="5.81640625" style="117" customWidth="1"/>
    <col min="10011" max="10012" width="4.7265625" style="117" customWidth="1"/>
    <col min="10013" max="10020" width="3" style="117" customWidth="1"/>
    <col min="10021" max="10021" width="5.54296875" style="117" customWidth="1"/>
    <col min="10022" max="10245" width="3.7265625" style="117"/>
    <col min="10246" max="10246" width="4.81640625" style="117" customWidth="1"/>
    <col min="10247" max="10253" width="3" style="117" customWidth="1"/>
    <col min="10254" max="10254" width="5.26953125" style="117" customWidth="1"/>
    <col min="10255" max="10264" width="3" style="117" customWidth="1"/>
    <col min="10265" max="10265" width="4.54296875" style="117" customWidth="1"/>
    <col min="10266" max="10266" width="5.81640625" style="117" customWidth="1"/>
    <col min="10267" max="10268" width="4.7265625" style="117" customWidth="1"/>
    <col min="10269" max="10276" width="3" style="117" customWidth="1"/>
    <col min="10277" max="10277" width="5.54296875" style="117" customWidth="1"/>
    <col min="10278" max="10501" width="3.7265625" style="117"/>
    <col min="10502" max="10502" width="4.81640625" style="117" customWidth="1"/>
    <col min="10503" max="10509" width="3" style="117" customWidth="1"/>
    <col min="10510" max="10510" width="5.26953125" style="117" customWidth="1"/>
    <col min="10511" max="10520" width="3" style="117" customWidth="1"/>
    <col min="10521" max="10521" width="4.54296875" style="117" customWidth="1"/>
    <col min="10522" max="10522" width="5.81640625" style="117" customWidth="1"/>
    <col min="10523" max="10524" width="4.7265625" style="117" customWidth="1"/>
    <col min="10525" max="10532" width="3" style="117" customWidth="1"/>
    <col min="10533" max="10533" width="5.54296875" style="117" customWidth="1"/>
    <col min="10534" max="10757" width="3.7265625" style="117"/>
    <col min="10758" max="10758" width="4.81640625" style="117" customWidth="1"/>
    <col min="10759" max="10765" width="3" style="117" customWidth="1"/>
    <col min="10766" max="10766" width="5.26953125" style="117" customWidth="1"/>
    <col min="10767" max="10776" width="3" style="117" customWidth="1"/>
    <col min="10777" max="10777" width="4.54296875" style="117" customWidth="1"/>
    <col min="10778" max="10778" width="5.81640625" style="117" customWidth="1"/>
    <col min="10779" max="10780" width="4.7265625" style="117" customWidth="1"/>
    <col min="10781" max="10788" width="3" style="117" customWidth="1"/>
    <col min="10789" max="10789" width="5.54296875" style="117" customWidth="1"/>
    <col min="10790" max="11013" width="3.7265625" style="117"/>
    <col min="11014" max="11014" width="4.81640625" style="117" customWidth="1"/>
    <col min="11015" max="11021" width="3" style="117" customWidth="1"/>
    <col min="11022" max="11022" width="5.26953125" style="117" customWidth="1"/>
    <col min="11023" max="11032" width="3" style="117" customWidth="1"/>
    <col min="11033" max="11033" width="4.54296875" style="117" customWidth="1"/>
    <col min="11034" max="11034" width="5.81640625" style="117" customWidth="1"/>
    <col min="11035" max="11036" width="4.7265625" style="117" customWidth="1"/>
    <col min="11037" max="11044" width="3" style="117" customWidth="1"/>
    <col min="11045" max="11045" width="5.54296875" style="117" customWidth="1"/>
    <col min="11046" max="11269" width="3.7265625" style="117"/>
    <col min="11270" max="11270" width="4.81640625" style="117" customWidth="1"/>
    <col min="11271" max="11277" width="3" style="117" customWidth="1"/>
    <col min="11278" max="11278" width="5.26953125" style="117" customWidth="1"/>
    <col min="11279" max="11288" width="3" style="117" customWidth="1"/>
    <col min="11289" max="11289" width="4.54296875" style="117" customWidth="1"/>
    <col min="11290" max="11290" width="5.81640625" style="117" customWidth="1"/>
    <col min="11291" max="11292" width="4.7265625" style="117" customWidth="1"/>
    <col min="11293" max="11300" width="3" style="117" customWidth="1"/>
    <col min="11301" max="11301" width="5.54296875" style="117" customWidth="1"/>
    <col min="11302" max="11525" width="3.7265625" style="117"/>
    <col min="11526" max="11526" width="4.81640625" style="117" customWidth="1"/>
    <col min="11527" max="11533" width="3" style="117" customWidth="1"/>
    <col min="11534" max="11534" width="5.26953125" style="117" customWidth="1"/>
    <col min="11535" max="11544" width="3" style="117" customWidth="1"/>
    <col min="11545" max="11545" width="4.54296875" style="117" customWidth="1"/>
    <col min="11546" max="11546" width="5.81640625" style="117" customWidth="1"/>
    <col min="11547" max="11548" width="4.7265625" style="117" customWidth="1"/>
    <col min="11549" max="11556" width="3" style="117" customWidth="1"/>
    <col min="11557" max="11557" width="5.54296875" style="117" customWidth="1"/>
    <col min="11558" max="11781" width="3.7265625" style="117"/>
    <col min="11782" max="11782" width="4.81640625" style="117" customWidth="1"/>
    <col min="11783" max="11789" width="3" style="117" customWidth="1"/>
    <col min="11790" max="11790" width="5.26953125" style="117" customWidth="1"/>
    <col min="11791" max="11800" width="3" style="117" customWidth="1"/>
    <col min="11801" max="11801" width="4.54296875" style="117" customWidth="1"/>
    <col min="11802" max="11802" width="5.81640625" style="117" customWidth="1"/>
    <col min="11803" max="11804" width="4.7265625" style="117" customWidth="1"/>
    <col min="11805" max="11812" width="3" style="117" customWidth="1"/>
    <col min="11813" max="11813" width="5.54296875" style="117" customWidth="1"/>
    <col min="11814" max="12037" width="3.7265625" style="117"/>
    <col min="12038" max="12038" width="4.81640625" style="117" customWidth="1"/>
    <col min="12039" max="12045" width="3" style="117" customWidth="1"/>
    <col min="12046" max="12046" width="5.26953125" style="117" customWidth="1"/>
    <col min="12047" max="12056" width="3" style="117" customWidth="1"/>
    <col min="12057" max="12057" width="4.54296875" style="117" customWidth="1"/>
    <col min="12058" max="12058" width="5.81640625" style="117" customWidth="1"/>
    <col min="12059" max="12060" width="4.7265625" style="117" customWidth="1"/>
    <col min="12061" max="12068" width="3" style="117" customWidth="1"/>
    <col min="12069" max="12069" width="5.54296875" style="117" customWidth="1"/>
    <col min="12070" max="12293" width="3.7265625" style="117"/>
    <col min="12294" max="12294" width="4.81640625" style="117" customWidth="1"/>
    <col min="12295" max="12301" width="3" style="117" customWidth="1"/>
    <col min="12302" max="12302" width="5.26953125" style="117" customWidth="1"/>
    <col min="12303" max="12312" width="3" style="117" customWidth="1"/>
    <col min="12313" max="12313" width="4.54296875" style="117" customWidth="1"/>
    <col min="12314" max="12314" width="5.81640625" style="117" customWidth="1"/>
    <col min="12315" max="12316" width="4.7265625" style="117" customWidth="1"/>
    <col min="12317" max="12324" width="3" style="117" customWidth="1"/>
    <col min="12325" max="12325" width="5.54296875" style="117" customWidth="1"/>
    <col min="12326" max="12549" width="3.7265625" style="117"/>
    <col min="12550" max="12550" width="4.81640625" style="117" customWidth="1"/>
    <col min="12551" max="12557" width="3" style="117" customWidth="1"/>
    <col min="12558" max="12558" width="5.26953125" style="117" customWidth="1"/>
    <col min="12559" max="12568" width="3" style="117" customWidth="1"/>
    <col min="12569" max="12569" width="4.54296875" style="117" customWidth="1"/>
    <col min="12570" max="12570" width="5.81640625" style="117" customWidth="1"/>
    <col min="12571" max="12572" width="4.7265625" style="117" customWidth="1"/>
    <col min="12573" max="12580" width="3" style="117" customWidth="1"/>
    <col min="12581" max="12581" width="5.54296875" style="117" customWidth="1"/>
    <col min="12582" max="12805" width="3.7265625" style="117"/>
    <col min="12806" max="12806" width="4.81640625" style="117" customWidth="1"/>
    <col min="12807" max="12813" width="3" style="117" customWidth="1"/>
    <col min="12814" max="12814" width="5.26953125" style="117" customWidth="1"/>
    <col min="12815" max="12824" width="3" style="117" customWidth="1"/>
    <col min="12825" max="12825" width="4.54296875" style="117" customWidth="1"/>
    <col min="12826" max="12826" width="5.81640625" style="117" customWidth="1"/>
    <col min="12827" max="12828" width="4.7265625" style="117" customWidth="1"/>
    <col min="12829" max="12836" width="3" style="117" customWidth="1"/>
    <col min="12837" max="12837" width="5.54296875" style="117" customWidth="1"/>
    <col min="12838" max="13061" width="3.7265625" style="117"/>
    <col min="13062" max="13062" width="4.81640625" style="117" customWidth="1"/>
    <col min="13063" max="13069" width="3" style="117" customWidth="1"/>
    <col min="13070" max="13070" width="5.26953125" style="117" customWidth="1"/>
    <col min="13071" max="13080" width="3" style="117" customWidth="1"/>
    <col min="13081" max="13081" width="4.54296875" style="117" customWidth="1"/>
    <col min="13082" max="13082" width="5.81640625" style="117" customWidth="1"/>
    <col min="13083" max="13084" width="4.7265625" style="117" customWidth="1"/>
    <col min="13085" max="13092" width="3" style="117" customWidth="1"/>
    <col min="13093" max="13093" width="5.54296875" style="117" customWidth="1"/>
    <col min="13094" max="13317" width="3.7265625" style="117"/>
    <col min="13318" max="13318" width="4.81640625" style="117" customWidth="1"/>
    <col min="13319" max="13325" width="3" style="117" customWidth="1"/>
    <col min="13326" max="13326" width="5.26953125" style="117" customWidth="1"/>
    <col min="13327" max="13336" width="3" style="117" customWidth="1"/>
    <col min="13337" max="13337" width="4.54296875" style="117" customWidth="1"/>
    <col min="13338" max="13338" width="5.81640625" style="117" customWidth="1"/>
    <col min="13339" max="13340" width="4.7265625" style="117" customWidth="1"/>
    <col min="13341" max="13348" width="3" style="117" customWidth="1"/>
    <col min="13349" max="13349" width="5.54296875" style="117" customWidth="1"/>
    <col min="13350" max="13573" width="3.7265625" style="117"/>
    <col min="13574" max="13574" width="4.81640625" style="117" customWidth="1"/>
    <col min="13575" max="13581" width="3" style="117" customWidth="1"/>
    <col min="13582" max="13582" width="5.26953125" style="117" customWidth="1"/>
    <col min="13583" max="13592" width="3" style="117" customWidth="1"/>
    <col min="13593" max="13593" width="4.54296875" style="117" customWidth="1"/>
    <col min="13594" max="13594" width="5.81640625" style="117" customWidth="1"/>
    <col min="13595" max="13596" width="4.7265625" style="117" customWidth="1"/>
    <col min="13597" max="13604" width="3" style="117" customWidth="1"/>
    <col min="13605" max="13605" width="5.54296875" style="117" customWidth="1"/>
    <col min="13606" max="13829" width="3.7265625" style="117"/>
    <col min="13830" max="13830" width="4.81640625" style="117" customWidth="1"/>
    <col min="13831" max="13837" width="3" style="117" customWidth="1"/>
    <col min="13838" max="13838" width="5.26953125" style="117" customWidth="1"/>
    <col min="13839" max="13848" width="3" style="117" customWidth="1"/>
    <col min="13849" max="13849" width="4.54296875" style="117" customWidth="1"/>
    <col min="13850" max="13850" width="5.81640625" style="117" customWidth="1"/>
    <col min="13851" max="13852" width="4.7265625" style="117" customWidth="1"/>
    <col min="13853" max="13860" width="3" style="117" customWidth="1"/>
    <col min="13861" max="13861" width="5.54296875" style="117" customWidth="1"/>
    <col min="13862" max="14085" width="3.7265625" style="117"/>
    <col min="14086" max="14086" width="4.81640625" style="117" customWidth="1"/>
    <col min="14087" max="14093" width="3" style="117" customWidth="1"/>
    <col min="14094" max="14094" width="5.26953125" style="117" customWidth="1"/>
    <col min="14095" max="14104" width="3" style="117" customWidth="1"/>
    <col min="14105" max="14105" width="4.54296875" style="117" customWidth="1"/>
    <col min="14106" max="14106" width="5.81640625" style="117" customWidth="1"/>
    <col min="14107" max="14108" width="4.7265625" style="117" customWidth="1"/>
    <col min="14109" max="14116" width="3" style="117" customWidth="1"/>
    <col min="14117" max="14117" width="5.54296875" style="117" customWidth="1"/>
    <col min="14118" max="14341" width="3.7265625" style="117"/>
    <col min="14342" max="14342" width="4.81640625" style="117" customWidth="1"/>
    <col min="14343" max="14349" width="3" style="117" customWidth="1"/>
    <col min="14350" max="14350" width="5.26953125" style="117" customWidth="1"/>
    <col min="14351" max="14360" width="3" style="117" customWidth="1"/>
    <col min="14361" max="14361" width="4.54296875" style="117" customWidth="1"/>
    <col min="14362" max="14362" width="5.81640625" style="117" customWidth="1"/>
    <col min="14363" max="14364" width="4.7265625" style="117" customWidth="1"/>
    <col min="14365" max="14372" width="3" style="117" customWidth="1"/>
    <col min="14373" max="14373" width="5.54296875" style="117" customWidth="1"/>
    <col min="14374" max="14597" width="3.7265625" style="117"/>
    <col min="14598" max="14598" width="4.81640625" style="117" customWidth="1"/>
    <col min="14599" max="14605" width="3" style="117" customWidth="1"/>
    <col min="14606" max="14606" width="5.26953125" style="117" customWidth="1"/>
    <col min="14607" max="14616" width="3" style="117" customWidth="1"/>
    <col min="14617" max="14617" width="4.54296875" style="117" customWidth="1"/>
    <col min="14618" max="14618" width="5.81640625" style="117" customWidth="1"/>
    <col min="14619" max="14620" width="4.7265625" style="117" customWidth="1"/>
    <col min="14621" max="14628" width="3" style="117" customWidth="1"/>
    <col min="14629" max="14629" width="5.54296875" style="117" customWidth="1"/>
    <col min="14630" max="14853" width="3.7265625" style="117"/>
    <col min="14854" max="14854" width="4.81640625" style="117" customWidth="1"/>
    <col min="14855" max="14861" width="3" style="117" customWidth="1"/>
    <col min="14862" max="14862" width="5.26953125" style="117" customWidth="1"/>
    <col min="14863" max="14872" width="3" style="117" customWidth="1"/>
    <col min="14873" max="14873" width="4.54296875" style="117" customWidth="1"/>
    <col min="14874" max="14874" width="5.81640625" style="117" customWidth="1"/>
    <col min="14875" max="14876" width="4.7265625" style="117" customWidth="1"/>
    <col min="14877" max="14884" width="3" style="117" customWidth="1"/>
    <col min="14885" max="14885" width="5.54296875" style="117" customWidth="1"/>
    <col min="14886" max="15109" width="3.7265625" style="117"/>
    <col min="15110" max="15110" width="4.81640625" style="117" customWidth="1"/>
    <col min="15111" max="15117" width="3" style="117" customWidth="1"/>
    <col min="15118" max="15118" width="5.26953125" style="117" customWidth="1"/>
    <col min="15119" max="15128" width="3" style="117" customWidth="1"/>
    <col min="15129" max="15129" width="4.54296875" style="117" customWidth="1"/>
    <col min="15130" max="15130" width="5.81640625" style="117" customWidth="1"/>
    <col min="15131" max="15132" width="4.7265625" style="117" customWidth="1"/>
    <col min="15133" max="15140" width="3" style="117" customWidth="1"/>
    <col min="15141" max="15141" width="5.54296875" style="117" customWidth="1"/>
    <col min="15142" max="15365" width="3.7265625" style="117"/>
    <col min="15366" max="15366" width="4.81640625" style="117" customWidth="1"/>
    <col min="15367" max="15373" width="3" style="117" customWidth="1"/>
    <col min="15374" max="15374" width="5.26953125" style="117" customWidth="1"/>
    <col min="15375" max="15384" width="3" style="117" customWidth="1"/>
    <col min="15385" max="15385" width="4.54296875" style="117" customWidth="1"/>
    <col min="15386" max="15386" width="5.81640625" style="117" customWidth="1"/>
    <col min="15387" max="15388" width="4.7265625" style="117" customWidth="1"/>
    <col min="15389" max="15396" width="3" style="117" customWidth="1"/>
    <col min="15397" max="15397" width="5.54296875" style="117" customWidth="1"/>
    <col min="15398" max="15621" width="3.7265625" style="117"/>
    <col min="15622" max="15622" width="4.81640625" style="117" customWidth="1"/>
    <col min="15623" max="15629" width="3" style="117" customWidth="1"/>
    <col min="15630" max="15630" width="5.26953125" style="117" customWidth="1"/>
    <col min="15631" max="15640" width="3" style="117" customWidth="1"/>
    <col min="15641" max="15641" width="4.54296875" style="117" customWidth="1"/>
    <col min="15642" max="15642" width="5.81640625" style="117" customWidth="1"/>
    <col min="15643" max="15644" width="4.7265625" style="117" customWidth="1"/>
    <col min="15645" max="15652" width="3" style="117" customWidth="1"/>
    <col min="15653" max="15653" width="5.54296875" style="117" customWidth="1"/>
    <col min="15654" max="15877" width="3.7265625" style="117"/>
    <col min="15878" max="15878" width="4.81640625" style="117" customWidth="1"/>
    <col min="15879" max="15885" width="3" style="117" customWidth="1"/>
    <col min="15886" max="15886" width="5.26953125" style="117" customWidth="1"/>
    <col min="15887" max="15896" width="3" style="117" customWidth="1"/>
    <col min="15897" max="15897" width="4.54296875" style="117" customWidth="1"/>
    <col min="15898" max="15898" width="5.81640625" style="117" customWidth="1"/>
    <col min="15899" max="15900" width="4.7265625" style="117" customWidth="1"/>
    <col min="15901" max="15908" width="3" style="117" customWidth="1"/>
    <col min="15909" max="15909" width="5.54296875" style="117" customWidth="1"/>
    <col min="15910" max="16133" width="3.7265625" style="117"/>
    <col min="16134" max="16134" width="4.81640625" style="117" customWidth="1"/>
    <col min="16135" max="16141" width="3" style="117" customWidth="1"/>
    <col min="16142" max="16142" width="5.26953125" style="117" customWidth="1"/>
    <col min="16143" max="16152" width="3" style="117" customWidth="1"/>
    <col min="16153" max="16153" width="4.54296875" style="117" customWidth="1"/>
    <col min="16154" max="16154" width="5.81640625" style="117" customWidth="1"/>
    <col min="16155" max="16156" width="4.7265625" style="117" customWidth="1"/>
    <col min="16157" max="16164" width="3" style="117" customWidth="1"/>
    <col min="16165" max="16165" width="5.54296875" style="117" customWidth="1"/>
    <col min="16166" max="16384" width="3.7265625" style="117"/>
  </cols>
  <sheetData>
    <row r="1" spans="1:37" s="21" customFormat="1" ht="18" customHeight="1" x14ac:dyDescent="0.35">
      <c r="A1" s="107"/>
      <c r="B1" s="108"/>
      <c r="C1" s="108"/>
      <c r="D1" s="108"/>
      <c r="E1" s="108"/>
      <c r="F1" s="108"/>
      <c r="G1" s="292" t="s">
        <v>244</v>
      </c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4"/>
      <c r="AD1" s="108" t="s">
        <v>245</v>
      </c>
      <c r="AE1" s="108"/>
      <c r="AF1" s="109" t="s">
        <v>246</v>
      </c>
      <c r="AG1" s="108" t="s">
        <v>302</v>
      </c>
      <c r="AH1" s="108"/>
      <c r="AI1" s="108"/>
      <c r="AJ1" s="108"/>
      <c r="AK1" s="110"/>
    </row>
    <row r="2" spans="1:37" s="21" customFormat="1" ht="18" customHeight="1" x14ac:dyDescent="0.35">
      <c r="A2" s="111"/>
      <c r="G2" s="295" t="s">
        <v>303</v>
      </c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7"/>
      <c r="AD2" s="21" t="s">
        <v>248</v>
      </c>
      <c r="AF2" s="112" t="s">
        <v>246</v>
      </c>
      <c r="AG2" s="113" t="s">
        <v>304</v>
      </c>
      <c r="AH2" s="113"/>
      <c r="AK2" s="114"/>
    </row>
    <row r="3" spans="1:37" s="21" customFormat="1" ht="18" customHeight="1" x14ac:dyDescent="0.35">
      <c r="A3" s="111"/>
      <c r="G3" s="298" t="s">
        <v>305</v>
      </c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300"/>
      <c r="AD3" s="21" t="s">
        <v>250</v>
      </c>
      <c r="AF3" s="112" t="s">
        <v>246</v>
      </c>
      <c r="AG3" s="113" t="s">
        <v>306</v>
      </c>
      <c r="AH3" s="113"/>
      <c r="AK3" s="114"/>
    </row>
    <row r="4" spans="1:37" s="21" customFormat="1" ht="18" customHeight="1" x14ac:dyDescent="0.35">
      <c r="A4" s="111"/>
      <c r="B4" s="115"/>
      <c r="C4" s="115"/>
      <c r="D4" s="115"/>
      <c r="E4" s="115"/>
      <c r="F4" s="115"/>
      <c r="G4" s="298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300"/>
      <c r="AD4" s="21" t="s">
        <v>252</v>
      </c>
      <c r="AF4" s="112" t="s">
        <v>246</v>
      </c>
      <c r="AG4" s="21">
        <v>1</v>
      </c>
      <c r="AH4" s="301" t="s">
        <v>253</v>
      </c>
      <c r="AI4" s="301"/>
      <c r="AJ4" s="21">
        <v>1</v>
      </c>
      <c r="AK4" s="114"/>
    </row>
    <row r="5" spans="1:37" s="116" customFormat="1" ht="20.149999999999999" customHeight="1" x14ac:dyDescent="0.25">
      <c r="A5" s="302" t="s">
        <v>307</v>
      </c>
      <c r="B5" s="303"/>
      <c r="C5" s="303"/>
      <c r="D5" s="303"/>
      <c r="E5" s="303"/>
      <c r="F5" s="304"/>
      <c r="G5" s="305" t="s">
        <v>47</v>
      </c>
      <c r="H5" s="306"/>
      <c r="I5" s="307"/>
      <c r="J5" s="308"/>
      <c r="K5" s="302" t="s">
        <v>308</v>
      </c>
      <c r="L5" s="303"/>
      <c r="M5" s="303"/>
      <c r="N5" s="304"/>
      <c r="O5" s="302" t="s">
        <v>309</v>
      </c>
      <c r="P5" s="310"/>
      <c r="Q5" s="310"/>
      <c r="R5" s="310"/>
      <c r="S5" s="310"/>
      <c r="T5" s="310"/>
      <c r="U5" s="310"/>
      <c r="V5" s="310"/>
      <c r="W5" s="310"/>
      <c r="X5" s="310"/>
      <c r="Y5" s="311" t="s">
        <v>309</v>
      </c>
      <c r="Z5" s="313" t="s">
        <v>310</v>
      </c>
      <c r="AA5" s="303"/>
      <c r="AB5" s="304"/>
      <c r="AC5" s="279" t="s">
        <v>311</v>
      </c>
      <c r="AD5" s="280"/>
      <c r="AE5" s="280"/>
      <c r="AF5" s="280"/>
      <c r="AG5" s="280"/>
      <c r="AH5" s="280" t="s">
        <v>282</v>
      </c>
      <c r="AI5" s="282"/>
      <c r="AJ5" s="282"/>
      <c r="AK5" s="282"/>
    </row>
    <row r="6" spans="1:37" ht="20.149999999999999" customHeight="1" x14ac:dyDescent="0.25">
      <c r="A6" s="284" t="s">
        <v>312</v>
      </c>
      <c r="B6" s="285"/>
      <c r="C6" s="285"/>
      <c r="D6" s="285"/>
      <c r="E6" s="285"/>
      <c r="F6" s="286"/>
      <c r="G6" s="287" t="s">
        <v>53</v>
      </c>
      <c r="H6" s="288"/>
      <c r="I6" s="287" t="s">
        <v>313</v>
      </c>
      <c r="J6" s="288"/>
      <c r="K6" s="309"/>
      <c r="L6" s="285"/>
      <c r="M6" s="285"/>
      <c r="N6" s="286"/>
      <c r="O6" s="287" t="s">
        <v>314</v>
      </c>
      <c r="P6" s="289"/>
      <c r="Q6" s="289"/>
      <c r="R6" s="289"/>
      <c r="S6" s="289"/>
      <c r="T6" s="290" t="s">
        <v>315</v>
      </c>
      <c r="U6" s="291"/>
      <c r="V6" s="291"/>
      <c r="W6" s="291"/>
      <c r="X6" s="291"/>
      <c r="Y6" s="312"/>
      <c r="Z6" s="285"/>
      <c r="AA6" s="285"/>
      <c r="AB6" s="286"/>
      <c r="AC6" s="281"/>
      <c r="AD6" s="281"/>
      <c r="AE6" s="281"/>
      <c r="AF6" s="281"/>
      <c r="AG6" s="281"/>
      <c r="AH6" s="283"/>
      <c r="AI6" s="283"/>
      <c r="AJ6" s="283"/>
      <c r="AK6" s="283"/>
    </row>
    <row r="7" spans="1:37" ht="15" customHeight="1" x14ac:dyDescent="0.25">
      <c r="A7" s="118" t="s">
        <v>316</v>
      </c>
      <c r="B7" s="119"/>
      <c r="C7" s="119"/>
      <c r="D7" s="119"/>
      <c r="E7" s="119"/>
      <c r="F7" s="119"/>
      <c r="G7" s="314"/>
      <c r="H7" s="315"/>
      <c r="I7" s="314"/>
      <c r="J7" s="315"/>
      <c r="K7" s="318"/>
      <c r="L7" s="319"/>
      <c r="M7" s="319"/>
      <c r="N7" s="320"/>
      <c r="O7" s="334" t="s">
        <v>317</v>
      </c>
      <c r="P7" s="335"/>
      <c r="Q7" s="335"/>
      <c r="R7" s="330"/>
      <c r="S7" s="331"/>
      <c r="T7" s="334" t="s">
        <v>317</v>
      </c>
      <c r="U7" s="335"/>
      <c r="V7" s="335"/>
      <c r="W7" s="330"/>
      <c r="X7" s="331"/>
      <c r="Y7" s="338" t="s">
        <v>318</v>
      </c>
      <c r="Z7" s="340"/>
      <c r="AA7" s="341"/>
      <c r="AB7" s="331"/>
      <c r="AC7" s="344"/>
      <c r="AD7" s="345"/>
      <c r="AE7" s="345"/>
      <c r="AF7" s="345"/>
      <c r="AG7" s="346"/>
      <c r="AH7" s="340"/>
      <c r="AI7" s="341"/>
      <c r="AJ7" s="341"/>
      <c r="AK7" s="331"/>
    </row>
    <row r="8" spans="1:37" x14ac:dyDescent="0.25">
      <c r="A8" s="125"/>
      <c r="B8" s="126"/>
      <c r="C8" s="126"/>
      <c r="D8" s="126"/>
      <c r="E8" s="127"/>
      <c r="F8" s="127"/>
      <c r="G8" s="316"/>
      <c r="H8" s="317"/>
      <c r="I8" s="316"/>
      <c r="J8" s="317"/>
      <c r="K8" s="321"/>
      <c r="L8" s="322"/>
      <c r="M8" s="322"/>
      <c r="N8" s="323"/>
      <c r="O8" s="336"/>
      <c r="P8" s="337"/>
      <c r="Q8" s="337"/>
      <c r="R8" s="332"/>
      <c r="S8" s="333"/>
      <c r="T8" s="336"/>
      <c r="U8" s="337"/>
      <c r="V8" s="337"/>
      <c r="W8" s="332"/>
      <c r="X8" s="333"/>
      <c r="Y8" s="339"/>
      <c r="Z8" s="342"/>
      <c r="AA8" s="343"/>
      <c r="AB8" s="333"/>
      <c r="AC8" s="347"/>
      <c r="AD8" s="348"/>
      <c r="AE8" s="348"/>
      <c r="AF8" s="348"/>
      <c r="AG8" s="349"/>
      <c r="AH8" s="342"/>
      <c r="AI8" s="343"/>
      <c r="AJ8" s="343"/>
      <c r="AK8" s="333"/>
    </row>
    <row r="9" spans="1:37" ht="15" customHeight="1" x14ac:dyDescent="0.25">
      <c r="A9" s="131" t="s">
        <v>319</v>
      </c>
      <c r="B9" s="132"/>
      <c r="C9" s="132"/>
      <c r="D9" s="132"/>
      <c r="E9" s="132"/>
      <c r="F9" s="132"/>
      <c r="G9" s="314"/>
      <c r="H9" s="315"/>
      <c r="I9" s="314"/>
      <c r="J9" s="315"/>
      <c r="K9" s="318"/>
      <c r="L9" s="319"/>
      <c r="M9" s="319"/>
      <c r="N9" s="320"/>
      <c r="O9" s="324" t="s">
        <v>320</v>
      </c>
      <c r="P9" s="325"/>
      <c r="Q9" s="326"/>
      <c r="R9" s="330"/>
      <c r="S9" s="331"/>
      <c r="T9" s="324" t="s">
        <v>320</v>
      </c>
      <c r="U9" s="325"/>
      <c r="V9" s="326"/>
      <c r="W9" s="330"/>
      <c r="X9" s="331"/>
      <c r="Y9" s="338" t="s">
        <v>318</v>
      </c>
      <c r="Z9" s="340"/>
      <c r="AA9" s="341"/>
      <c r="AB9" s="331"/>
      <c r="AC9" s="344"/>
      <c r="AD9" s="345"/>
      <c r="AE9" s="345"/>
      <c r="AF9" s="345"/>
      <c r="AG9" s="346"/>
      <c r="AH9" s="340"/>
      <c r="AI9" s="341"/>
      <c r="AJ9" s="341"/>
      <c r="AK9" s="331"/>
    </row>
    <row r="10" spans="1:37" x14ac:dyDescent="0.25">
      <c r="A10" s="125"/>
      <c r="B10" s="126"/>
      <c r="C10" s="126"/>
      <c r="D10" s="126"/>
      <c r="E10" s="127"/>
      <c r="F10" s="127"/>
      <c r="G10" s="316"/>
      <c r="H10" s="317"/>
      <c r="I10" s="316"/>
      <c r="J10" s="317"/>
      <c r="K10" s="321"/>
      <c r="L10" s="322"/>
      <c r="M10" s="322"/>
      <c r="N10" s="323"/>
      <c r="O10" s="327"/>
      <c r="P10" s="328"/>
      <c r="Q10" s="329"/>
      <c r="R10" s="332"/>
      <c r="S10" s="333"/>
      <c r="T10" s="327"/>
      <c r="U10" s="328"/>
      <c r="V10" s="329"/>
      <c r="W10" s="332"/>
      <c r="X10" s="333"/>
      <c r="Y10" s="339"/>
      <c r="Z10" s="342"/>
      <c r="AA10" s="343"/>
      <c r="AB10" s="333"/>
      <c r="AC10" s="347"/>
      <c r="AD10" s="348"/>
      <c r="AE10" s="348"/>
      <c r="AF10" s="348"/>
      <c r="AG10" s="349"/>
      <c r="AH10" s="342"/>
      <c r="AI10" s="343"/>
      <c r="AJ10" s="343"/>
      <c r="AK10" s="333"/>
    </row>
    <row r="11" spans="1:37" x14ac:dyDescent="0.25">
      <c r="A11" s="131" t="s">
        <v>321</v>
      </c>
      <c r="B11" s="132"/>
      <c r="C11" s="132"/>
      <c r="D11" s="132"/>
      <c r="E11" s="133"/>
      <c r="F11" s="133"/>
      <c r="G11" s="314"/>
      <c r="H11" s="315"/>
      <c r="I11" s="314"/>
      <c r="J11" s="315"/>
      <c r="K11" s="350"/>
      <c r="L11" s="351"/>
      <c r="M11" s="351"/>
      <c r="N11" s="352"/>
      <c r="O11" s="324" t="s">
        <v>322</v>
      </c>
      <c r="P11" s="325"/>
      <c r="Q11" s="326"/>
      <c r="R11" s="330"/>
      <c r="S11" s="331"/>
      <c r="T11" s="324" t="s">
        <v>322</v>
      </c>
      <c r="U11" s="325"/>
      <c r="V11" s="326"/>
      <c r="W11" s="330"/>
      <c r="X11" s="331"/>
      <c r="Y11" s="338" t="s">
        <v>318</v>
      </c>
      <c r="Z11" s="340"/>
      <c r="AA11" s="341"/>
      <c r="AB11" s="331"/>
      <c r="AC11" s="344"/>
      <c r="AD11" s="345"/>
      <c r="AE11" s="345"/>
      <c r="AF11" s="345"/>
      <c r="AG11" s="346"/>
      <c r="AH11" s="340"/>
      <c r="AI11" s="341"/>
      <c r="AJ11" s="341"/>
      <c r="AK11" s="331"/>
    </row>
    <row r="12" spans="1:37" x14ac:dyDescent="0.25">
      <c r="A12" s="125"/>
      <c r="B12" s="126"/>
      <c r="C12" s="126"/>
      <c r="D12" s="126"/>
      <c r="E12" s="127"/>
      <c r="F12" s="127"/>
      <c r="G12" s="316"/>
      <c r="H12" s="317"/>
      <c r="I12" s="316"/>
      <c r="J12" s="317"/>
      <c r="K12" s="353"/>
      <c r="L12" s="354"/>
      <c r="M12" s="354"/>
      <c r="N12" s="355"/>
      <c r="O12" s="327"/>
      <c r="P12" s="328"/>
      <c r="Q12" s="329"/>
      <c r="R12" s="332"/>
      <c r="S12" s="333"/>
      <c r="T12" s="327"/>
      <c r="U12" s="328"/>
      <c r="V12" s="329"/>
      <c r="W12" s="332"/>
      <c r="X12" s="333"/>
      <c r="Y12" s="339"/>
      <c r="Z12" s="342"/>
      <c r="AA12" s="343"/>
      <c r="AB12" s="333"/>
      <c r="AC12" s="347"/>
      <c r="AD12" s="348"/>
      <c r="AE12" s="348"/>
      <c r="AF12" s="348"/>
      <c r="AG12" s="349"/>
      <c r="AH12" s="342"/>
      <c r="AI12" s="343"/>
      <c r="AJ12" s="343"/>
      <c r="AK12" s="333"/>
    </row>
    <row r="13" spans="1:37" x14ac:dyDescent="0.25">
      <c r="A13" s="131" t="s">
        <v>323</v>
      </c>
      <c r="B13" s="132"/>
      <c r="C13" s="132"/>
      <c r="D13" s="132"/>
      <c r="E13" s="133"/>
      <c r="F13" s="133"/>
      <c r="G13" s="314"/>
      <c r="H13" s="315"/>
      <c r="I13" s="314"/>
      <c r="J13" s="315"/>
      <c r="K13" s="350"/>
      <c r="L13" s="351"/>
      <c r="M13" s="351"/>
      <c r="N13" s="352"/>
      <c r="O13" s="334" t="s">
        <v>324</v>
      </c>
      <c r="P13" s="335"/>
      <c r="Q13" s="356"/>
      <c r="R13" s="330"/>
      <c r="S13" s="331"/>
      <c r="T13" s="334" t="s">
        <v>324</v>
      </c>
      <c r="U13" s="335"/>
      <c r="V13" s="356"/>
      <c r="W13" s="330"/>
      <c r="X13" s="331"/>
      <c r="Y13" s="388" t="s">
        <v>318</v>
      </c>
      <c r="Z13" s="340"/>
      <c r="AA13" s="341"/>
      <c r="AB13" s="331"/>
      <c r="AC13" s="344"/>
      <c r="AD13" s="345"/>
      <c r="AE13" s="345"/>
      <c r="AF13" s="345"/>
      <c r="AG13" s="346"/>
      <c r="AH13" s="340"/>
      <c r="AI13" s="341"/>
      <c r="AJ13" s="341"/>
      <c r="AK13" s="331"/>
    </row>
    <row r="14" spans="1:37" ht="23.25" customHeight="1" x14ac:dyDescent="0.25">
      <c r="A14" s="361" t="s">
        <v>325</v>
      </c>
      <c r="B14" s="362"/>
      <c r="C14" s="362"/>
      <c r="D14" s="362"/>
      <c r="E14" s="362"/>
      <c r="F14" s="363"/>
      <c r="G14" s="316"/>
      <c r="H14" s="317"/>
      <c r="I14" s="316"/>
      <c r="J14" s="317"/>
      <c r="K14" s="353"/>
      <c r="L14" s="354"/>
      <c r="M14" s="354"/>
      <c r="N14" s="355"/>
      <c r="O14" s="336"/>
      <c r="P14" s="337"/>
      <c r="Q14" s="357"/>
      <c r="R14" s="332"/>
      <c r="S14" s="333"/>
      <c r="T14" s="336"/>
      <c r="U14" s="337"/>
      <c r="V14" s="357"/>
      <c r="W14" s="332"/>
      <c r="X14" s="333"/>
      <c r="Y14" s="339"/>
      <c r="Z14" s="342"/>
      <c r="AA14" s="343"/>
      <c r="AB14" s="333"/>
      <c r="AC14" s="347"/>
      <c r="AD14" s="348"/>
      <c r="AE14" s="348"/>
      <c r="AF14" s="348"/>
      <c r="AG14" s="349"/>
      <c r="AH14" s="342"/>
      <c r="AI14" s="343"/>
      <c r="AJ14" s="343"/>
      <c r="AK14" s="333"/>
    </row>
    <row r="15" spans="1:37" x14ac:dyDescent="0.25">
      <c r="A15" s="134" t="s">
        <v>326</v>
      </c>
      <c r="B15" s="135"/>
      <c r="C15" s="135"/>
      <c r="D15" s="135"/>
      <c r="E15" s="136"/>
      <c r="F15" s="136"/>
      <c r="G15" s="137"/>
      <c r="H15" s="136"/>
      <c r="I15" s="138"/>
      <c r="J15" s="139"/>
      <c r="K15" s="364"/>
      <c r="L15" s="365"/>
      <c r="M15" s="365"/>
      <c r="N15" s="366"/>
      <c r="O15" s="137"/>
      <c r="P15" s="136"/>
      <c r="Q15" s="136"/>
      <c r="R15" s="136"/>
      <c r="S15" s="140"/>
      <c r="T15" s="136"/>
      <c r="U15" s="141"/>
      <c r="V15" s="142"/>
      <c r="W15" s="142"/>
      <c r="X15" s="142"/>
      <c r="Y15" s="143"/>
      <c r="Z15" s="367"/>
      <c r="AA15" s="368"/>
      <c r="AB15" s="369"/>
      <c r="AC15" s="370"/>
      <c r="AD15" s="371"/>
      <c r="AE15" s="371"/>
      <c r="AF15" s="371"/>
      <c r="AG15" s="372"/>
      <c r="AH15" s="367"/>
      <c r="AI15" s="368"/>
      <c r="AJ15" s="368"/>
      <c r="AK15" s="369"/>
    </row>
    <row r="16" spans="1:37" ht="12.75" customHeight="1" x14ac:dyDescent="0.25">
      <c r="A16" s="118" t="s">
        <v>327</v>
      </c>
      <c r="B16" s="119"/>
      <c r="C16" s="119"/>
      <c r="D16" s="119"/>
      <c r="E16" s="119"/>
      <c r="F16" s="119"/>
      <c r="G16" s="118"/>
      <c r="H16" s="119"/>
      <c r="I16" s="118"/>
      <c r="J16" s="119"/>
      <c r="K16" s="373"/>
      <c r="L16" s="374"/>
      <c r="M16" s="374"/>
      <c r="N16" s="375"/>
      <c r="O16" s="144" t="s">
        <v>328</v>
      </c>
      <c r="P16" s="145"/>
      <c r="Q16" s="330"/>
      <c r="R16" s="341"/>
      <c r="S16" s="331"/>
      <c r="T16" s="144" t="s">
        <v>328</v>
      </c>
      <c r="V16" s="330"/>
      <c r="W16" s="341"/>
      <c r="X16" s="331"/>
      <c r="Y16" s="146" t="s">
        <v>318</v>
      </c>
      <c r="Z16" s="340"/>
      <c r="AA16" s="341"/>
      <c r="AB16" s="331"/>
      <c r="AC16" s="344"/>
      <c r="AD16" s="345"/>
      <c r="AE16" s="345"/>
      <c r="AF16" s="345"/>
      <c r="AG16" s="346"/>
      <c r="AH16" s="324"/>
      <c r="AI16" s="325"/>
      <c r="AJ16" s="325"/>
      <c r="AK16" s="419"/>
    </row>
    <row r="17" spans="1:37" ht="13" x14ac:dyDescent="0.3">
      <c r="A17" s="147" t="s">
        <v>329</v>
      </c>
      <c r="B17" s="119"/>
      <c r="C17" s="119"/>
      <c r="D17" s="119"/>
      <c r="E17" s="119"/>
      <c r="F17" s="119"/>
      <c r="G17" s="421"/>
      <c r="H17" s="422"/>
      <c r="I17" s="421"/>
      <c r="J17" s="422"/>
      <c r="K17" s="376"/>
      <c r="L17" s="377"/>
      <c r="M17" s="377"/>
      <c r="N17" s="378"/>
      <c r="O17" s="144" t="s">
        <v>330</v>
      </c>
      <c r="P17" s="148"/>
      <c r="Q17" s="423"/>
      <c r="R17" s="424"/>
      <c r="S17" s="425"/>
      <c r="T17" s="144" t="s">
        <v>330</v>
      </c>
      <c r="V17" s="423"/>
      <c r="W17" s="424"/>
      <c r="X17" s="425"/>
      <c r="Y17" s="146" t="s">
        <v>318</v>
      </c>
      <c r="Z17" s="382"/>
      <c r="AA17" s="383"/>
      <c r="AB17" s="384"/>
      <c r="AC17" s="385"/>
      <c r="AD17" s="386"/>
      <c r="AE17" s="386"/>
      <c r="AF17" s="386"/>
      <c r="AG17" s="387"/>
      <c r="AH17" s="407"/>
      <c r="AI17" s="408"/>
      <c r="AJ17" s="408"/>
      <c r="AK17" s="409"/>
    </row>
    <row r="18" spans="1:37" ht="13" x14ac:dyDescent="0.3">
      <c r="A18" s="147" t="s">
        <v>331</v>
      </c>
      <c r="B18" s="119"/>
      <c r="C18" s="119"/>
      <c r="D18" s="119"/>
      <c r="E18" s="119"/>
      <c r="F18" s="119"/>
      <c r="G18" s="421"/>
      <c r="H18" s="422"/>
      <c r="I18" s="421"/>
      <c r="J18" s="422"/>
      <c r="K18" s="376"/>
      <c r="L18" s="377"/>
      <c r="M18" s="377"/>
      <c r="N18" s="378"/>
      <c r="O18" s="144" t="s">
        <v>332</v>
      </c>
      <c r="P18" s="148"/>
      <c r="Q18" s="358"/>
      <c r="R18" s="359"/>
      <c r="S18" s="360"/>
      <c r="T18" s="144" t="s">
        <v>332</v>
      </c>
      <c r="V18" s="358"/>
      <c r="W18" s="359"/>
      <c r="X18" s="360"/>
      <c r="Y18" s="146" t="s">
        <v>318</v>
      </c>
      <c r="Z18" s="382"/>
      <c r="AA18" s="383"/>
      <c r="AB18" s="384"/>
      <c r="AC18" s="385"/>
      <c r="AD18" s="386"/>
      <c r="AE18" s="386"/>
      <c r="AF18" s="386"/>
      <c r="AG18" s="387"/>
      <c r="AH18" s="407"/>
      <c r="AI18" s="408"/>
      <c r="AJ18" s="408"/>
      <c r="AK18" s="409"/>
    </row>
    <row r="19" spans="1:37" x14ac:dyDescent="0.25">
      <c r="A19" s="152"/>
      <c r="B19" s="126"/>
      <c r="C19" s="126"/>
      <c r="D19" s="126"/>
      <c r="E19" s="126"/>
      <c r="F19" s="126"/>
      <c r="G19" s="125"/>
      <c r="H19" s="153"/>
      <c r="I19" s="125"/>
      <c r="J19" s="126"/>
      <c r="K19" s="379"/>
      <c r="L19" s="380"/>
      <c r="M19" s="380"/>
      <c r="N19" s="381"/>
      <c r="O19" s="154" t="s">
        <v>330</v>
      </c>
      <c r="P19" s="155"/>
      <c r="Q19" s="332"/>
      <c r="R19" s="343"/>
      <c r="S19" s="333"/>
      <c r="T19" s="154" t="s">
        <v>330</v>
      </c>
      <c r="U19" s="156"/>
      <c r="V19" s="332"/>
      <c r="W19" s="343"/>
      <c r="X19" s="333"/>
      <c r="Y19" s="157" t="s">
        <v>318</v>
      </c>
      <c r="Z19" s="342"/>
      <c r="AA19" s="343"/>
      <c r="AB19" s="333"/>
      <c r="AC19" s="347"/>
      <c r="AD19" s="348"/>
      <c r="AE19" s="348"/>
      <c r="AF19" s="348"/>
      <c r="AG19" s="349"/>
      <c r="AH19" s="327"/>
      <c r="AI19" s="328"/>
      <c r="AJ19" s="328"/>
      <c r="AK19" s="420"/>
    </row>
    <row r="20" spans="1:37" x14ac:dyDescent="0.25">
      <c r="A20" s="118" t="s">
        <v>333</v>
      </c>
      <c r="B20" s="119"/>
      <c r="C20" s="119"/>
      <c r="D20" s="119"/>
      <c r="E20" s="119"/>
      <c r="F20" s="119"/>
      <c r="G20" s="118"/>
      <c r="H20" s="158"/>
      <c r="I20" s="118"/>
      <c r="J20" s="119"/>
      <c r="K20" s="410"/>
      <c r="L20" s="411"/>
      <c r="M20" s="411"/>
      <c r="N20" s="412"/>
      <c r="O20" s="159"/>
      <c r="P20" s="145"/>
      <c r="Q20" s="148"/>
      <c r="R20" s="148"/>
      <c r="S20" s="160"/>
      <c r="T20" s="145"/>
      <c r="V20" s="150"/>
      <c r="W20" s="150"/>
      <c r="X20" s="150"/>
      <c r="Y20" s="146"/>
      <c r="Z20" s="150"/>
      <c r="AA20" s="150"/>
      <c r="AB20" s="151"/>
      <c r="AC20" s="344"/>
      <c r="AD20" s="345"/>
      <c r="AE20" s="345"/>
      <c r="AF20" s="345"/>
      <c r="AG20" s="346"/>
      <c r="AH20" s="416"/>
      <c r="AI20" s="417"/>
      <c r="AJ20" s="417"/>
      <c r="AK20" s="418"/>
    </row>
    <row r="21" spans="1:37" ht="12.75" customHeight="1" x14ac:dyDescent="0.25">
      <c r="A21" s="161" t="s">
        <v>334</v>
      </c>
      <c r="B21" s="162"/>
      <c r="C21" s="162"/>
      <c r="D21" s="162"/>
      <c r="E21" s="163"/>
      <c r="F21" s="163"/>
      <c r="G21" s="401"/>
      <c r="H21" s="402"/>
      <c r="I21" s="401"/>
      <c r="J21" s="402"/>
      <c r="K21" s="389"/>
      <c r="L21" s="390"/>
      <c r="M21" s="390"/>
      <c r="N21" s="391"/>
      <c r="O21" s="164"/>
      <c r="P21" s="163"/>
      <c r="Q21" s="163"/>
      <c r="R21" s="163"/>
      <c r="S21" s="165"/>
      <c r="T21" s="163"/>
      <c r="U21" s="166"/>
      <c r="V21" s="167"/>
      <c r="W21" s="167"/>
      <c r="X21" s="167"/>
      <c r="Y21" s="168"/>
      <c r="Z21" s="167"/>
      <c r="AA21" s="167"/>
      <c r="AB21" s="169"/>
      <c r="AC21" s="385"/>
      <c r="AD21" s="386"/>
      <c r="AE21" s="386"/>
      <c r="AF21" s="386"/>
      <c r="AG21" s="387"/>
      <c r="AH21" s="395"/>
      <c r="AI21" s="396"/>
      <c r="AJ21" s="396"/>
      <c r="AK21" s="397"/>
    </row>
    <row r="22" spans="1:37" ht="12.75" customHeight="1" x14ac:dyDescent="0.25">
      <c r="A22" s="147"/>
      <c r="B22" s="119"/>
      <c r="C22" s="119"/>
      <c r="D22" s="119"/>
      <c r="E22" s="145"/>
      <c r="F22" s="145"/>
      <c r="G22" s="403"/>
      <c r="H22" s="404"/>
      <c r="I22" s="403"/>
      <c r="J22" s="404"/>
      <c r="K22" s="376"/>
      <c r="L22" s="377"/>
      <c r="M22" s="377"/>
      <c r="N22" s="378"/>
      <c r="O22" s="159"/>
      <c r="P22" s="145"/>
      <c r="Q22" s="145"/>
      <c r="R22" s="145"/>
      <c r="S22" s="160"/>
      <c r="T22" s="145"/>
      <c r="V22" s="150"/>
      <c r="W22" s="150"/>
      <c r="X22" s="150"/>
      <c r="Y22" s="146"/>
      <c r="Z22" s="150"/>
      <c r="AA22" s="150"/>
      <c r="AB22" s="151"/>
      <c r="AC22" s="385"/>
      <c r="AD22" s="386"/>
      <c r="AE22" s="386"/>
      <c r="AF22" s="386"/>
      <c r="AG22" s="387"/>
      <c r="AH22" s="407"/>
      <c r="AI22" s="408"/>
      <c r="AJ22" s="408"/>
      <c r="AK22" s="409"/>
    </row>
    <row r="23" spans="1:37" ht="12.75" customHeight="1" x14ac:dyDescent="0.25">
      <c r="A23" s="147"/>
      <c r="B23" s="119"/>
      <c r="C23" s="119"/>
      <c r="D23" s="119"/>
      <c r="E23" s="145"/>
      <c r="F23" s="145"/>
      <c r="G23" s="403"/>
      <c r="H23" s="404"/>
      <c r="I23" s="403"/>
      <c r="J23" s="404"/>
      <c r="K23" s="376"/>
      <c r="L23" s="377"/>
      <c r="M23" s="377"/>
      <c r="N23" s="378"/>
      <c r="O23" s="159"/>
      <c r="P23" s="145"/>
      <c r="Q23" s="145"/>
      <c r="R23" s="145"/>
      <c r="S23" s="160"/>
      <c r="T23" s="145"/>
      <c r="V23" s="150"/>
      <c r="W23" s="150"/>
      <c r="X23" s="150"/>
      <c r="Y23" s="146"/>
      <c r="Z23" s="150"/>
      <c r="AA23" s="150"/>
      <c r="AB23" s="151"/>
      <c r="AC23" s="385"/>
      <c r="AD23" s="386"/>
      <c r="AE23" s="386"/>
      <c r="AF23" s="386"/>
      <c r="AG23" s="387"/>
      <c r="AH23" s="407"/>
      <c r="AI23" s="408"/>
      <c r="AJ23" s="408"/>
      <c r="AK23" s="409"/>
    </row>
    <row r="24" spans="1:37" ht="12.75" customHeight="1" x14ac:dyDescent="0.25">
      <c r="A24" s="170"/>
      <c r="B24" s="171"/>
      <c r="C24" s="171"/>
      <c r="D24" s="171"/>
      <c r="E24" s="172"/>
      <c r="F24" s="172"/>
      <c r="G24" s="405"/>
      <c r="H24" s="406"/>
      <c r="I24" s="405"/>
      <c r="J24" s="406"/>
      <c r="K24" s="392"/>
      <c r="L24" s="393"/>
      <c r="M24" s="393"/>
      <c r="N24" s="394"/>
      <c r="O24" s="173"/>
      <c r="P24" s="172"/>
      <c r="Q24" s="172"/>
      <c r="R24" s="172"/>
      <c r="S24" s="174"/>
      <c r="T24" s="172"/>
      <c r="U24" s="175"/>
      <c r="V24" s="176"/>
      <c r="W24" s="176"/>
      <c r="X24" s="176"/>
      <c r="Y24" s="177"/>
      <c r="Z24" s="176"/>
      <c r="AA24" s="176"/>
      <c r="AB24" s="178"/>
      <c r="AC24" s="385"/>
      <c r="AD24" s="386"/>
      <c r="AE24" s="386"/>
      <c r="AF24" s="386"/>
      <c r="AG24" s="387"/>
      <c r="AH24" s="398"/>
      <c r="AI24" s="399"/>
      <c r="AJ24" s="399"/>
      <c r="AK24" s="400"/>
    </row>
    <row r="25" spans="1:37" x14ac:dyDescent="0.25">
      <c r="A25" s="161" t="s">
        <v>335</v>
      </c>
      <c r="B25" s="162"/>
      <c r="C25" s="162"/>
      <c r="D25" s="162"/>
      <c r="E25" s="163"/>
      <c r="F25" s="163"/>
      <c r="G25" s="401"/>
      <c r="H25" s="402"/>
      <c r="I25" s="401"/>
      <c r="J25" s="402"/>
      <c r="K25" s="389"/>
      <c r="L25" s="390"/>
      <c r="M25" s="390"/>
      <c r="N25" s="391"/>
      <c r="O25" s="164"/>
      <c r="P25" s="163"/>
      <c r="Q25" s="163"/>
      <c r="R25" s="163"/>
      <c r="S25" s="165"/>
      <c r="T25" s="163"/>
      <c r="U25" s="166"/>
      <c r="V25" s="167"/>
      <c r="W25" s="167"/>
      <c r="X25" s="167"/>
      <c r="Y25" s="168"/>
      <c r="Z25" s="167"/>
      <c r="AA25" s="167"/>
      <c r="AB25" s="169"/>
      <c r="AC25" s="385"/>
      <c r="AD25" s="386"/>
      <c r="AE25" s="386"/>
      <c r="AF25" s="386"/>
      <c r="AG25" s="387"/>
      <c r="AH25" s="395"/>
      <c r="AI25" s="396"/>
      <c r="AJ25" s="396"/>
      <c r="AK25" s="397"/>
    </row>
    <row r="26" spans="1:37" x14ac:dyDescent="0.25">
      <c r="A26" s="170"/>
      <c r="B26" s="171"/>
      <c r="C26" s="171"/>
      <c r="D26" s="171"/>
      <c r="E26" s="172"/>
      <c r="F26" s="172"/>
      <c r="G26" s="405"/>
      <c r="H26" s="406"/>
      <c r="I26" s="405"/>
      <c r="J26" s="406"/>
      <c r="K26" s="392"/>
      <c r="L26" s="393"/>
      <c r="M26" s="393"/>
      <c r="N26" s="394"/>
      <c r="O26" s="173"/>
      <c r="P26" s="172"/>
      <c r="Q26" s="172"/>
      <c r="R26" s="172"/>
      <c r="S26" s="174"/>
      <c r="T26" s="172"/>
      <c r="U26" s="175"/>
      <c r="V26" s="176"/>
      <c r="W26" s="176"/>
      <c r="X26" s="176"/>
      <c r="Y26" s="177"/>
      <c r="Z26" s="176"/>
      <c r="AA26" s="176"/>
      <c r="AB26" s="178"/>
      <c r="AC26" s="385"/>
      <c r="AD26" s="386"/>
      <c r="AE26" s="386"/>
      <c r="AF26" s="386"/>
      <c r="AG26" s="387"/>
      <c r="AH26" s="398"/>
      <c r="AI26" s="399"/>
      <c r="AJ26" s="399"/>
      <c r="AK26" s="400"/>
    </row>
    <row r="27" spans="1:37" x14ac:dyDescent="0.25">
      <c r="A27" s="161" t="s">
        <v>336</v>
      </c>
      <c r="B27" s="162"/>
      <c r="C27" s="162"/>
      <c r="D27" s="162"/>
      <c r="E27" s="163"/>
      <c r="F27" s="163"/>
      <c r="G27" s="401"/>
      <c r="H27" s="402"/>
      <c r="I27" s="401"/>
      <c r="J27" s="402"/>
      <c r="K27" s="389"/>
      <c r="L27" s="390"/>
      <c r="M27" s="390"/>
      <c r="N27" s="391"/>
      <c r="O27" s="164"/>
      <c r="P27" s="163"/>
      <c r="Q27" s="163"/>
      <c r="R27" s="163"/>
      <c r="S27" s="165"/>
      <c r="T27" s="163"/>
      <c r="U27" s="166"/>
      <c r="V27" s="167"/>
      <c r="W27" s="167"/>
      <c r="X27" s="167"/>
      <c r="Y27" s="168"/>
      <c r="Z27" s="167"/>
      <c r="AA27" s="167"/>
      <c r="AB27" s="169"/>
      <c r="AC27" s="385"/>
      <c r="AD27" s="386"/>
      <c r="AE27" s="386"/>
      <c r="AF27" s="386"/>
      <c r="AG27" s="387"/>
      <c r="AH27" s="395"/>
      <c r="AI27" s="396"/>
      <c r="AJ27" s="396"/>
      <c r="AK27" s="397"/>
    </row>
    <row r="28" spans="1:37" x14ac:dyDescent="0.25">
      <c r="A28" s="147"/>
      <c r="B28" s="119"/>
      <c r="C28" s="119"/>
      <c r="D28" s="119"/>
      <c r="E28" s="145"/>
      <c r="F28" s="145"/>
      <c r="G28" s="403"/>
      <c r="H28" s="404"/>
      <c r="I28" s="403"/>
      <c r="J28" s="404"/>
      <c r="K28" s="376"/>
      <c r="L28" s="377"/>
      <c r="M28" s="377"/>
      <c r="N28" s="378"/>
      <c r="O28" s="159"/>
      <c r="P28" s="145"/>
      <c r="Q28" s="145"/>
      <c r="R28" s="145"/>
      <c r="S28" s="160"/>
      <c r="T28" s="145"/>
      <c r="V28" s="150"/>
      <c r="W28" s="150"/>
      <c r="X28" s="150"/>
      <c r="Y28" s="146"/>
      <c r="Z28" s="150"/>
      <c r="AA28" s="150"/>
      <c r="AB28" s="151"/>
      <c r="AC28" s="385"/>
      <c r="AD28" s="386"/>
      <c r="AE28" s="386"/>
      <c r="AF28" s="386"/>
      <c r="AG28" s="387"/>
      <c r="AH28" s="407"/>
      <c r="AI28" s="408"/>
      <c r="AJ28" s="408"/>
      <c r="AK28" s="409"/>
    </row>
    <row r="29" spans="1:37" x14ac:dyDescent="0.25">
      <c r="A29" s="170"/>
      <c r="B29" s="171"/>
      <c r="C29" s="171"/>
      <c r="D29" s="171"/>
      <c r="E29" s="172"/>
      <c r="F29" s="172"/>
      <c r="G29" s="405"/>
      <c r="H29" s="406"/>
      <c r="I29" s="405"/>
      <c r="J29" s="406"/>
      <c r="K29" s="392"/>
      <c r="L29" s="393"/>
      <c r="M29" s="393"/>
      <c r="N29" s="394"/>
      <c r="O29" s="173"/>
      <c r="P29" s="172"/>
      <c r="Q29" s="172"/>
      <c r="R29" s="172"/>
      <c r="S29" s="174"/>
      <c r="T29" s="172"/>
      <c r="U29" s="175"/>
      <c r="V29" s="176"/>
      <c r="W29" s="176"/>
      <c r="X29" s="176"/>
      <c r="Y29" s="177"/>
      <c r="Z29" s="176"/>
      <c r="AA29" s="176"/>
      <c r="AB29" s="178"/>
      <c r="AC29" s="385"/>
      <c r="AD29" s="386"/>
      <c r="AE29" s="386"/>
      <c r="AF29" s="386"/>
      <c r="AG29" s="387"/>
      <c r="AH29" s="398"/>
      <c r="AI29" s="399"/>
      <c r="AJ29" s="399"/>
      <c r="AK29" s="400"/>
    </row>
    <row r="30" spans="1:37" x14ac:dyDescent="0.25">
      <c r="A30" s="161" t="s">
        <v>337</v>
      </c>
      <c r="B30" s="162"/>
      <c r="C30" s="162"/>
      <c r="D30" s="162"/>
      <c r="E30" s="163"/>
      <c r="F30" s="163"/>
      <c r="G30" s="401"/>
      <c r="H30" s="402"/>
      <c r="I30" s="401"/>
      <c r="J30" s="402"/>
      <c r="K30" s="389"/>
      <c r="L30" s="390"/>
      <c r="M30" s="390"/>
      <c r="N30" s="391"/>
      <c r="O30" s="164"/>
      <c r="P30" s="163"/>
      <c r="Q30" s="163"/>
      <c r="R30" s="163"/>
      <c r="S30" s="165"/>
      <c r="T30" s="163"/>
      <c r="U30" s="166"/>
      <c r="V30" s="167"/>
      <c r="W30" s="167"/>
      <c r="X30" s="167"/>
      <c r="Y30" s="168"/>
      <c r="Z30" s="167"/>
      <c r="AA30" s="167"/>
      <c r="AB30" s="169"/>
      <c r="AC30" s="385"/>
      <c r="AD30" s="386"/>
      <c r="AE30" s="386"/>
      <c r="AF30" s="386"/>
      <c r="AG30" s="387"/>
      <c r="AH30" s="395"/>
      <c r="AI30" s="396"/>
      <c r="AJ30" s="396"/>
      <c r="AK30" s="397"/>
    </row>
    <row r="31" spans="1:37" x14ac:dyDescent="0.25">
      <c r="A31" s="147"/>
      <c r="B31" s="119"/>
      <c r="C31" s="119"/>
      <c r="D31" s="119"/>
      <c r="E31" s="145"/>
      <c r="F31" s="145"/>
      <c r="G31" s="403"/>
      <c r="H31" s="404"/>
      <c r="I31" s="403"/>
      <c r="J31" s="404"/>
      <c r="K31" s="376"/>
      <c r="L31" s="377"/>
      <c r="M31" s="377"/>
      <c r="N31" s="378"/>
      <c r="O31" s="159"/>
      <c r="P31" s="145"/>
      <c r="Q31" s="145"/>
      <c r="R31" s="145"/>
      <c r="S31" s="160"/>
      <c r="T31" s="145"/>
      <c r="V31" s="150"/>
      <c r="W31" s="150"/>
      <c r="X31" s="150"/>
      <c r="Y31" s="146"/>
      <c r="Z31" s="150"/>
      <c r="AA31" s="150"/>
      <c r="AB31" s="151"/>
      <c r="AC31" s="385"/>
      <c r="AD31" s="386"/>
      <c r="AE31" s="386"/>
      <c r="AF31" s="386"/>
      <c r="AG31" s="387"/>
      <c r="AH31" s="407"/>
      <c r="AI31" s="408"/>
      <c r="AJ31" s="408"/>
      <c r="AK31" s="409"/>
    </row>
    <row r="32" spans="1:37" x14ac:dyDescent="0.25">
      <c r="A32" s="170"/>
      <c r="B32" s="171"/>
      <c r="C32" s="171"/>
      <c r="D32" s="171"/>
      <c r="E32" s="172"/>
      <c r="F32" s="172"/>
      <c r="G32" s="405"/>
      <c r="H32" s="406"/>
      <c r="I32" s="405"/>
      <c r="J32" s="406"/>
      <c r="K32" s="392"/>
      <c r="L32" s="393"/>
      <c r="M32" s="393"/>
      <c r="N32" s="394"/>
      <c r="O32" s="173"/>
      <c r="P32" s="172"/>
      <c r="Q32" s="172"/>
      <c r="R32" s="172"/>
      <c r="S32" s="174"/>
      <c r="T32" s="172"/>
      <c r="U32" s="175"/>
      <c r="V32" s="176"/>
      <c r="W32" s="176"/>
      <c r="X32" s="176"/>
      <c r="Y32" s="177"/>
      <c r="Z32" s="176"/>
      <c r="AA32" s="176"/>
      <c r="AB32" s="178"/>
      <c r="AC32" s="413"/>
      <c r="AD32" s="414"/>
      <c r="AE32" s="414"/>
      <c r="AF32" s="414"/>
      <c r="AG32" s="415"/>
      <c r="AH32" s="398"/>
      <c r="AI32" s="399"/>
      <c r="AJ32" s="399"/>
      <c r="AK32" s="400"/>
    </row>
    <row r="33" spans="1:37" ht="15" x14ac:dyDescent="0.25">
      <c r="A33" s="179" t="s">
        <v>338</v>
      </c>
      <c r="B33" s="162"/>
      <c r="C33" s="162"/>
      <c r="D33" s="162"/>
      <c r="E33" s="163"/>
      <c r="F33" s="163"/>
      <c r="G33" s="180"/>
      <c r="H33" s="181"/>
      <c r="I33" s="180"/>
      <c r="J33" s="181"/>
      <c r="K33" s="389"/>
      <c r="L33" s="390"/>
      <c r="M33" s="390"/>
      <c r="N33" s="391"/>
      <c r="O33" s="164"/>
      <c r="P33" s="163"/>
      <c r="Q33" s="163"/>
      <c r="R33" s="163"/>
      <c r="S33" s="165"/>
      <c r="T33" s="163"/>
      <c r="U33" s="166"/>
      <c r="V33" s="167"/>
      <c r="W33" s="167"/>
      <c r="X33" s="167"/>
      <c r="Y33" s="168"/>
      <c r="Z33" s="167"/>
      <c r="AA33" s="167"/>
      <c r="AB33" s="169"/>
      <c r="AC33" s="426"/>
      <c r="AD33" s="427"/>
      <c r="AE33" s="427"/>
      <c r="AF33" s="427"/>
      <c r="AG33" s="428"/>
      <c r="AH33" s="395"/>
      <c r="AI33" s="396"/>
      <c r="AJ33" s="396"/>
      <c r="AK33" s="397"/>
    </row>
    <row r="34" spans="1:37" x14ac:dyDescent="0.25">
      <c r="A34" s="147" t="s">
        <v>339</v>
      </c>
      <c r="B34" s="119"/>
      <c r="C34" s="119"/>
      <c r="D34" s="119"/>
      <c r="E34" s="145"/>
      <c r="F34" s="145"/>
      <c r="G34" s="403"/>
      <c r="H34" s="404"/>
      <c r="I34" s="403"/>
      <c r="J34" s="404"/>
      <c r="K34" s="376"/>
      <c r="L34" s="377"/>
      <c r="M34" s="377"/>
      <c r="N34" s="378"/>
      <c r="O34" s="159"/>
      <c r="P34" s="145"/>
      <c r="Q34" s="145"/>
      <c r="R34" s="145"/>
      <c r="S34" s="160"/>
      <c r="T34" s="145"/>
      <c r="V34" s="150"/>
      <c r="W34" s="150"/>
      <c r="X34" s="150"/>
      <c r="Y34" s="146"/>
      <c r="Z34" s="150"/>
      <c r="AA34" s="150"/>
      <c r="AB34" s="151"/>
      <c r="AC34" s="385"/>
      <c r="AD34" s="386"/>
      <c r="AE34" s="386"/>
      <c r="AF34" s="386"/>
      <c r="AG34" s="387"/>
      <c r="AH34" s="407"/>
      <c r="AI34" s="408"/>
      <c r="AJ34" s="408"/>
      <c r="AK34" s="409"/>
    </row>
    <row r="35" spans="1:37" x14ac:dyDescent="0.25">
      <c r="A35" s="147"/>
      <c r="B35" s="119"/>
      <c r="C35" s="119"/>
      <c r="D35" s="119"/>
      <c r="E35" s="145"/>
      <c r="F35" s="145"/>
      <c r="G35" s="403"/>
      <c r="H35" s="404"/>
      <c r="I35" s="403"/>
      <c r="J35" s="404"/>
      <c r="K35" s="376"/>
      <c r="L35" s="377"/>
      <c r="M35" s="377"/>
      <c r="N35" s="378"/>
      <c r="O35" s="159"/>
      <c r="P35" s="145"/>
      <c r="Q35" s="145"/>
      <c r="R35" s="145"/>
      <c r="S35" s="160"/>
      <c r="T35" s="145"/>
      <c r="V35" s="150"/>
      <c r="W35" s="150"/>
      <c r="X35" s="150"/>
      <c r="Y35" s="146"/>
      <c r="Z35" s="150"/>
      <c r="AA35" s="150"/>
      <c r="AB35" s="151"/>
      <c r="AC35" s="385"/>
      <c r="AD35" s="386"/>
      <c r="AE35" s="386"/>
      <c r="AF35" s="386"/>
      <c r="AG35" s="387"/>
      <c r="AH35" s="407"/>
      <c r="AI35" s="408"/>
      <c r="AJ35" s="408"/>
      <c r="AK35" s="409"/>
    </row>
    <row r="36" spans="1:37" x14ac:dyDescent="0.25">
      <c r="A36" s="170"/>
      <c r="B36" s="171"/>
      <c r="C36" s="171"/>
      <c r="D36" s="171"/>
      <c r="E36" s="172"/>
      <c r="F36" s="172"/>
      <c r="G36" s="405"/>
      <c r="H36" s="406"/>
      <c r="I36" s="405"/>
      <c r="J36" s="406"/>
      <c r="K36" s="392"/>
      <c r="L36" s="393"/>
      <c r="M36" s="393"/>
      <c r="N36" s="394"/>
      <c r="O36" s="173"/>
      <c r="P36" s="172"/>
      <c r="Q36" s="172"/>
      <c r="R36" s="172"/>
      <c r="S36" s="174"/>
      <c r="T36" s="172"/>
      <c r="U36" s="175"/>
      <c r="V36" s="176"/>
      <c r="W36" s="176"/>
      <c r="X36" s="176"/>
      <c r="Y36" s="177"/>
      <c r="Z36" s="176"/>
      <c r="AA36" s="176"/>
      <c r="AB36" s="178"/>
      <c r="AC36" s="413"/>
      <c r="AD36" s="414"/>
      <c r="AE36" s="414"/>
      <c r="AF36" s="414"/>
      <c r="AG36" s="415"/>
      <c r="AH36" s="398"/>
      <c r="AI36" s="399"/>
      <c r="AJ36" s="399"/>
      <c r="AK36" s="400"/>
    </row>
    <row r="37" spans="1:37" x14ac:dyDescent="0.25">
      <c r="A37" s="147" t="s">
        <v>340</v>
      </c>
      <c r="B37" s="119"/>
      <c r="C37" s="119"/>
      <c r="D37" s="119"/>
      <c r="E37" s="145"/>
      <c r="F37" s="145"/>
      <c r="G37" s="401"/>
      <c r="H37" s="402"/>
      <c r="I37" s="401"/>
      <c r="J37" s="402"/>
      <c r="K37" s="389"/>
      <c r="L37" s="390"/>
      <c r="M37" s="390"/>
      <c r="N37" s="391"/>
      <c r="O37" s="159"/>
      <c r="P37" s="145"/>
      <c r="Q37" s="145"/>
      <c r="R37" s="145"/>
      <c r="S37" s="160"/>
      <c r="T37" s="145"/>
      <c r="V37" s="150"/>
      <c r="W37" s="150"/>
      <c r="X37" s="150"/>
      <c r="Y37" s="146"/>
      <c r="Z37" s="150"/>
      <c r="AA37" s="150"/>
      <c r="AB37" s="151"/>
      <c r="AC37" s="426"/>
      <c r="AD37" s="427"/>
      <c r="AE37" s="427"/>
      <c r="AF37" s="427"/>
      <c r="AG37" s="428"/>
      <c r="AH37" s="429"/>
      <c r="AI37" s="430"/>
      <c r="AJ37" s="430"/>
      <c r="AK37" s="431"/>
    </row>
    <row r="38" spans="1:37" x14ac:dyDescent="0.25">
      <c r="A38" s="147"/>
      <c r="B38" s="119"/>
      <c r="C38" s="119"/>
      <c r="D38" s="119"/>
      <c r="E38" s="145"/>
      <c r="F38" s="145"/>
      <c r="G38" s="316"/>
      <c r="H38" s="317"/>
      <c r="I38" s="316"/>
      <c r="J38" s="317"/>
      <c r="K38" s="379"/>
      <c r="L38" s="380"/>
      <c r="M38" s="380"/>
      <c r="N38" s="381"/>
      <c r="O38" s="159"/>
      <c r="P38" s="145"/>
      <c r="Q38" s="145"/>
      <c r="R38" s="145"/>
      <c r="S38" s="160"/>
      <c r="T38" s="145"/>
      <c r="V38" s="150"/>
      <c r="W38" s="150"/>
      <c r="X38" s="150"/>
      <c r="Y38" s="146"/>
      <c r="Z38" s="150"/>
      <c r="AA38" s="150"/>
      <c r="AB38" s="151"/>
      <c r="AC38" s="347"/>
      <c r="AD38" s="348"/>
      <c r="AE38" s="348"/>
      <c r="AF38" s="348"/>
      <c r="AG38" s="349"/>
      <c r="AH38" s="342"/>
      <c r="AI38" s="343"/>
      <c r="AJ38" s="343"/>
      <c r="AK38" s="333"/>
    </row>
    <row r="39" spans="1:37" x14ac:dyDescent="0.25">
      <c r="A39" s="131" t="s">
        <v>341</v>
      </c>
      <c r="B39" s="132"/>
      <c r="C39" s="132"/>
      <c r="D39" s="132"/>
      <c r="E39" s="132"/>
      <c r="F39" s="132"/>
      <c r="G39" s="314"/>
      <c r="H39" s="315"/>
      <c r="I39" s="314"/>
      <c r="J39" s="315"/>
      <c r="K39" s="373"/>
      <c r="L39" s="374"/>
      <c r="M39" s="374"/>
      <c r="N39" s="375"/>
      <c r="O39" s="324" t="s">
        <v>342</v>
      </c>
      <c r="P39" s="326"/>
      <c r="Q39" s="330"/>
      <c r="R39" s="341"/>
      <c r="S39" s="331"/>
      <c r="T39" s="324" t="s">
        <v>342</v>
      </c>
      <c r="U39" s="326"/>
      <c r="V39" s="330"/>
      <c r="W39" s="341"/>
      <c r="X39" s="331"/>
      <c r="Y39" s="388" t="s">
        <v>318</v>
      </c>
      <c r="Z39" s="123"/>
      <c r="AA39" s="124"/>
      <c r="AB39" s="122"/>
      <c r="AC39" s="344"/>
      <c r="AD39" s="345"/>
      <c r="AE39" s="345"/>
      <c r="AF39" s="345"/>
      <c r="AG39" s="346"/>
      <c r="AH39" s="324"/>
      <c r="AI39" s="325"/>
      <c r="AJ39" s="325"/>
      <c r="AK39" s="419"/>
    </row>
    <row r="40" spans="1:37" x14ac:dyDescent="0.25">
      <c r="A40" s="118"/>
      <c r="B40" s="119"/>
      <c r="C40" s="119"/>
      <c r="D40" s="119"/>
      <c r="E40" s="119"/>
      <c r="F40" s="119"/>
      <c r="G40" s="403"/>
      <c r="H40" s="404"/>
      <c r="I40" s="403"/>
      <c r="J40" s="404"/>
      <c r="K40" s="376"/>
      <c r="L40" s="377"/>
      <c r="M40" s="377"/>
      <c r="N40" s="378"/>
      <c r="O40" s="407"/>
      <c r="P40" s="432"/>
      <c r="Q40" s="433"/>
      <c r="R40" s="383"/>
      <c r="S40" s="384"/>
      <c r="T40" s="407"/>
      <c r="U40" s="432"/>
      <c r="V40" s="433"/>
      <c r="W40" s="383"/>
      <c r="X40" s="384"/>
      <c r="Y40" s="434"/>
      <c r="Z40" s="149"/>
      <c r="AA40" s="150"/>
      <c r="AB40" s="151"/>
      <c r="AC40" s="385"/>
      <c r="AD40" s="386"/>
      <c r="AE40" s="386"/>
      <c r="AF40" s="386"/>
      <c r="AG40" s="387"/>
      <c r="AH40" s="407"/>
      <c r="AI40" s="408"/>
      <c r="AJ40" s="408"/>
      <c r="AK40" s="409"/>
    </row>
    <row r="41" spans="1:37" x14ac:dyDescent="0.25">
      <c r="A41" s="125"/>
      <c r="B41" s="126"/>
      <c r="C41" s="126"/>
      <c r="D41" s="126"/>
      <c r="E41" s="126"/>
      <c r="F41" s="126"/>
      <c r="G41" s="316"/>
      <c r="H41" s="317"/>
      <c r="I41" s="316"/>
      <c r="J41" s="317"/>
      <c r="K41" s="379"/>
      <c r="L41" s="380"/>
      <c r="M41" s="380"/>
      <c r="N41" s="381"/>
      <c r="O41" s="327"/>
      <c r="P41" s="329"/>
      <c r="Q41" s="332"/>
      <c r="R41" s="343"/>
      <c r="S41" s="333"/>
      <c r="T41" s="327"/>
      <c r="U41" s="329"/>
      <c r="V41" s="332"/>
      <c r="W41" s="343"/>
      <c r="X41" s="333"/>
      <c r="Y41" s="339"/>
      <c r="Z41" s="129"/>
      <c r="AA41" s="130"/>
      <c r="AB41" s="128"/>
      <c r="AC41" s="347"/>
      <c r="AD41" s="348"/>
      <c r="AE41" s="348"/>
      <c r="AF41" s="348"/>
      <c r="AG41" s="349"/>
      <c r="AH41" s="327"/>
      <c r="AI41" s="328"/>
      <c r="AJ41" s="328"/>
      <c r="AK41" s="420"/>
    </row>
    <row r="42" spans="1:37" x14ac:dyDescent="0.25">
      <c r="A42" s="131" t="s">
        <v>343</v>
      </c>
      <c r="B42" s="132"/>
      <c r="C42" s="132"/>
      <c r="D42" s="132"/>
      <c r="E42" s="124"/>
      <c r="F42" s="124"/>
      <c r="G42" s="314"/>
      <c r="H42" s="315"/>
      <c r="I42" s="314"/>
      <c r="J42" s="315"/>
      <c r="K42" s="373"/>
      <c r="L42" s="374"/>
      <c r="M42" s="374"/>
      <c r="N42" s="375"/>
      <c r="O42" s="182" t="s">
        <v>344</v>
      </c>
      <c r="P42" s="133"/>
      <c r="Q42" s="182"/>
      <c r="R42" s="182"/>
      <c r="S42" s="183"/>
      <c r="T42" s="182" t="s">
        <v>344</v>
      </c>
      <c r="U42" s="184"/>
      <c r="V42" s="124"/>
      <c r="W42" s="124"/>
      <c r="X42" s="132"/>
      <c r="Y42" s="123" t="s">
        <v>318</v>
      </c>
      <c r="Z42" s="185"/>
      <c r="AA42" s="184"/>
      <c r="AB42" s="186"/>
      <c r="AC42" s="344"/>
      <c r="AD42" s="345"/>
      <c r="AE42" s="345"/>
      <c r="AF42" s="345"/>
      <c r="AG42" s="346"/>
      <c r="AH42" s="324"/>
      <c r="AI42" s="325"/>
      <c r="AJ42" s="325"/>
      <c r="AK42" s="419"/>
    </row>
    <row r="43" spans="1:37" x14ac:dyDescent="0.25">
      <c r="A43" s="118"/>
      <c r="B43" s="119"/>
      <c r="C43" s="119"/>
      <c r="D43" s="119"/>
      <c r="E43" s="150"/>
      <c r="F43" s="150"/>
      <c r="G43" s="403"/>
      <c r="H43" s="404"/>
      <c r="I43" s="403"/>
      <c r="J43" s="404"/>
      <c r="K43" s="376"/>
      <c r="L43" s="377"/>
      <c r="M43" s="377"/>
      <c r="N43" s="378"/>
      <c r="O43" s="148" t="s">
        <v>345</v>
      </c>
      <c r="P43" s="150"/>
      <c r="Q43" s="148"/>
      <c r="R43" s="148"/>
      <c r="S43" s="151"/>
      <c r="T43" s="148" t="s">
        <v>345</v>
      </c>
      <c r="V43" s="150"/>
      <c r="W43" s="150"/>
      <c r="X43" s="148"/>
      <c r="Y43" s="149" t="s">
        <v>318</v>
      </c>
      <c r="Z43" s="144" t="s">
        <v>346</v>
      </c>
      <c r="AA43" s="150"/>
      <c r="AB43" s="151"/>
      <c r="AC43" s="385"/>
      <c r="AD43" s="386"/>
      <c r="AE43" s="386"/>
      <c r="AF43" s="386"/>
      <c r="AG43" s="387"/>
      <c r="AH43" s="407"/>
      <c r="AI43" s="408"/>
      <c r="AJ43" s="408"/>
      <c r="AK43" s="409"/>
    </row>
    <row r="44" spans="1:37" x14ac:dyDescent="0.25">
      <c r="A44" s="125"/>
      <c r="B44" s="126"/>
      <c r="C44" s="126"/>
      <c r="D44" s="126"/>
      <c r="E44" s="130"/>
      <c r="F44" s="130"/>
      <c r="G44" s="316"/>
      <c r="H44" s="317"/>
      <c r="I44" s="316"/>
      <c r="J44" s="317"/>
      <c r="K44" s="379"/>
      <c r="L44" s="380"/>
      <c r="M44" s="380"/>
      <c r="N44" s="381"/>
      <c r="O44" s="130"/>
      <c r="P44" s="130"/>
      <c r="Q44" s="130"/>
      <c r="R44" s="130"/>
      <c r="S44" s="128"/>
      <c r="T44" s="130"/>
      <c r="U44" s="156"/>
      <c r="V44" s="130"/>
      <c r="W44" s="130"/>
      <c r="X44" s="187"/>
      <c r="Y44" s="154"/>
      <c r="Z44" s="154" t="s">
        <v>347</v>
      </c>
      <c r="AA44" s="130"/>
      <c r="AB44" s="128"/>
      <c r="AC44" s="347"/>
      <c r="AD44" s="348"/>
      <c r="AE44" s="348"/>
      <c r="AF44" s="348"/>
      <c r="AG44" s="349"/>
      <c r="AH44" s="327"/>
      <c r="AI44" s="328"/>
      <c r="AJ44" s="328"/>
      <c r="AK44" s="420"/>
    </row>
    <row r="45" spans="1:37" x14ac:dyDescent="0.25">
      <c r="A45" s="131" t="s">
        <v>348</v>
      </c>
      <c r="B45" s="132"/>
      <c r="C45" s="132"/>
      <c r="D45" s="132"/>
      <c r="E45" s="124"/>
      <c r="F45" s="124"/>
      <c r="G45" s="314"/>
      <c r="H45" s="315"/>
      <c r="I45" s="314"/>
      <c r="J45" s="315"/>
      <c r="K45" s="373"/>
      <c r="L45" s="374"/>
      <c r="M45" s="374"/>
      <c r="N45" s="375"/>
      <c r="O45" s="124"/>
      <c r="P45" s="124"/>
      <c r="Q45" s="124"/>
      <c r="R45" s="124"/>
      <c r="S45" s="122"/>
      <c r="T45" s="124"/>
      <c r="U45" s="124"/>
      <c r="V45" s="124"/>
      <c r="W45" s="124"/>
      <c r="X45" s="124"/>
      <c r="Y45" s="123"/>
      <c r="Z45" s="123"/>
      <c r="AA45" s="124"/>
      <c r="AB45" s="122"/>
      <c r="AC45" s="344"/>
      <c r="AD45" s="345"/>
      <c r="AE45" s="345"/>
      <c r="AF45" s="345"/>
      <c r="AG45" s="346"/>
      <c r="AH45" s="324"/>
      <c r="AI45" s="325"/>
      <c r="AJ45" s="325"/>
      <c r="AK45" s="419"/>
    </row>
    <row r="46" spans="1:37" x14ac:dyDescent="0.25">
      <c r="A46" s="118"/>
      <c r="B46" s="119"/>
      <c r="C46" s="119"/>
      <c r="D46" s="119"/>
      <c r="E46" s="150"/>
      <c r="F46" s="150"/>
      <c r="G46" s="403"/>
      <c r="H46" s="404"/>
      <c r="I46" s="403"/>
      <c r="J46" s="404"/>
      <c r="K46" s="376"/>
      <c r="L46" s="377"/>
      <c r="M46" s="377"/>
      <c r="N46" s="378"/>
      <c r="O46" s="150"/>
      <c r="P46" s="150"/>
      <c r="Q46" s="150"/>
      <c r="R46" s="150"/>
      <c r="S46" s="151"/>
      <c r="T46" s="150"/>
      <c r="U46" s="150"/>
      <c r="V46" s="150"/>
      <c r="W46" s="150"/>
      <c r="X46" s="150"/>
      <c r="Y46" s="149"/>
      <c r="Z46" s="149"/>
      <c r="AA46" s="150"/>
      <c r="AB46" s="151"/>
      <c r="AC46" s="385"/>
      <c r="AD46" s="386"/>
      <c r="AE46" s="386"/>
      <c r="AF46" s="386"/>
      <c r="AG46" s="387"/>
      <c r="AH46" s="407"/>
      <c r="AI46" s="408"/>
      <c r="AJ46" s="408"/>
      <c r="AK46" s="409"/>
    </row>
    <row r="47" spans="1:37" x14ac:dyDescent="0.25">
      <c r="A47" s="125"/>
      <c r="B47" s="126"/>
      <c r="C47" s="126"/>
      <c r="D47" s="126"/>
      <c r="E47" s="130"/>
      <c r="F47" s="130"/>
      <c r="G47" s="316"/>
      <c r="H47" s="317"/>
      <c r="I47" s="316"/>
      <c r="J47" s="317"/>
      <c r="K47" s="379"/>
      <c r="L47" s="380"/>
      <c r="M47" s="380"/>
      <c r="N47" s="381"/>
      <c r="O47" s="130"/>
      <c r="P47" s="130"/>
      <c r="Q47" s="130"/>
      <c r="R47" s="130"/>
      <c r="S47" s="128"/>
      <c r="T47" s="130"/>
      <c r="U47" s="130"/>
      <c r="V47" s="130"/>
      <c r="W47" s="130"/>
      <c r="X47" s="130"/>
      <c r="Y47" s="129"/>
      <c r="Z47" s="129"/>
      <c r="AA47" s="130"/>
      <c r="AB47" s="128"/>
      <c r="AC47" s="347"/>
      <c r="AD47" s="348"/>
      <c r="AE47" s="348"/>
      <c r="AF47" s="348"/>
      <c r="AG47" s="349"/>
      <c r="AH47" s="327"/>
      <c r="AI47" s="328"/>
      <c r="AJ47" s="328"/>
      <c r="AK47" s="420"/>
    </row>
    <row r="48" spans="1:37" x14ac:dyDescent="0.25">
      <c r="A48" s="131" t="s">
        <v>349</v>
      </c>
      <c r="B48" s="132"/>
      <c r="C48" s="132"/>
      <c r="D48" s="132"/>
      <c r="E48" s="124"/>
      <c r="F48" s="124"/>
      <c r="G48" s="314"/>
      <c r="H48" s="315"/>
      <c r="I48" s="314"/>
      <c r="J48" s="315"/>
      <c r="K48" s="435"/>
      <c r="L48" s="436"/>
      <c r="M48" s="436"/>
      <c r="N48" s="437"/>
      <c r="O48" s="334" t="s">
        <v>350</v>
      </c>
      <c r="P48" s="335"/>
      <c r="Q48" s="330"/>
      <c r="R48" s="341"/>
      <c r="S48" s="331"/>
      <c r="T48" s="334" t="s">
        <v>350</v>
      </c>
      <c r="U48" s="335"/>
      <c r="V48" s="330"/>
      <c r="W48" s="341"/>
      <c r="X48" s="331"/>
      <c r="Y48" s="123" t="s">
        <v>318</v>
      </c>
      <c r="Z48" s="185"/>
      <c r="AA48" s="184"/>
      <c r="AB48" s="186"/>
      <c r="AC48" s="344"/>
      <c r="AD48" s="345"/>
      <c r="AE48" s="345"/>
      <c r="AF48" s="345"/>
      <c r="AG48" s="346"/>
      <c r="AH48" s="324"/>
      <c r="AI48" s="325"/>
      <c r="AJ48" s="325"/>
      <c r="AK48" s="419"/>
    </row>
    <row r="49" spans="1:37" x14ac:dyDescent="0.25">
      <c r="A49" s="118"/>
      <c r="B49" s="119"/>
      <c r="C49" s="119"/>
      <c r="D49" s="119"/>
      <c r="E49" s="150"/>
      <c r="F49" s="150"/>
      <c r="G49" s="403"/>
      <c r="H49" s="404"/>
      <c r="I49" s="403"/>
      <c r="J49" s="404"/>
      <c r="K49" s="438"/>
      <c r="L49" s="439"/>
      <c r="M49" s="439"/>
      <c r="N49" s="440"/>
      <c r="O49" s="444"/>
      <c r="P49" s="445"/>
      <c r="Q49" s="433"/>
      <c r="R49" s="383"/>
      <c r="S49" s="384"/>
      <c r="T49" s="444"/>
      <c r="U49" s="445"/>
      <c r="V49" s="433"/>
      <c r="W49" s="383"/>
      <c r="X49" s="384"/>
      <c r="Y49" s="118"/>
      <c r="Z49" s="188"/>
      <c r="AB49" s="189"/>
      <c r="AC49" s="385"/>
      <c r="AD49" s="386"/>
      <c r="AE49" s="386"/>
      <c r="AF49" s="386"/>
      <c r="AG49" s="387"/>
      <c r="AH49" s="407"/>
      <c r="AI49" s="408"/>
      <c r="AJ49" s="408"/>
      <c r="AK49" s="409"/>
    </row>
    <row r="50" spans="1:37" x14ac:dyDescent="0.25">
      <c r="A50" s="118"/>
      <c r="B50" s="119"/>
      <c r="C50" s="119"/>
      <c r="D50" s="119"/>
      <c r="E50" s="150"/>
      <c r="F50" s="150"/>
      <c r="G50" s="403"/>
      <c r="H50" s="404"/>
      <c r="I50" s="403"/>
      <c r="J50" s="404"/>
      <c r="K50" s="438"/>
      <c r="L50" s="439"/>
      <c r="M50" s="439"/>
      <c r="N50" s="440"/>
      <c r="O50" s="444"/>
      <c r="P50" s="445"/>
      <c r="Q50" s="433"/>
      <c r="R50" s="383"/>
      <c r="S50" s="384"/>
      <c r="T50" s="444"/>
      <c r="U50" s="445"/>
      <c r="V50" s="433"/>
      <c r="W50" s="383"/>
      <c r="X50" s="384"/>
      <c r="Y50" s="118"/>
      <c r="Z50" s="188"/>
      <c r="AB50" s="189"/>
      <c r="AC50" s="385"/>
      <c r="AD50" s="386"/>
      <c r="AE50" s="386"/>
      <c r="AF50" s="386"/>
      <c r="AG50" s="387"/>
      <c r="AH50" s="407"/>
      <c r="AI50" s="408"/>
      <c r="AJ50" s="408"/>
      <c r="AK50" s="409"/>
    </row>
    <row r="51" spans="1:37" x14ac:dyDescent="0.25">
      <c r="A51" s="125"/>
      <c r="B51" s="126"/>
      <c r="C51" s="126"/>
      <c r="D51" s="126"/>
      <c r="E51" s="130"/>
      <c r="F51" s="130"/>
      <c r="G51" s="316"/>
      <c r="H51" s="317"/>
      <c r="I51" s="316"/>
      <c r="J51" s="317"/>
      <c r="K51" s="441"/>
      <c r="L51" s="442"/>
      <c r="M51" s="442"/>
      <c r="N51" s="443"/>
      <c r="O51" s="336"/>
      <c r="P51" s="337"/>
      <c r="Q51" s="332"/>
      <c r="R51" s="343"/>
      <c r="S51" s="333"/>
      <c r="T51" s="336"/>
      <c r="U51" s="337"/>
      <c r="V51" s="332"/>
      <c r="W51" s="343"/>
      <c r="X51" s="333"/>
      <c r="Y51" s="125"/>
      <c r="Z51" s="190"/>
      <c r="AA51" s="156"/>
      <c r="AB51" s="191"/>
      <c r="AC51" s="347"/>
      <c r="AD51" s="348"/>
      <c r="AE51" s="348"/>
      <c r="AF51" s="348"/>
      <c r="AG51" s="349"/>
      <c r="AH51" s="327"/>
      <c r="AI51" s="328"/>
      <c r="AJ51" s="328"/>
      <c r="AK51" s="420"/>
    </row>
    <row r="52" spans="1:37" x14ac:dyDescent="0.25">
      <c r="A52" s="118" t="s">
        <v>351</v>
      </c>
      <c r="B52" s="119"/>
      <c r="C52" s="119"/>
      <c r="D52" s="119"/>
      <c r="E52" s="150"/>
      <c r="F52" s="150"/>
      <c r="G52" s="314"/>
      <c r="H52" s="315"/>
      <c r="I52" s="314"/>
      <c r="J52" s="315"/>
      <c r="K52" s="373"/>
      <c r="L52" s="374"/>
      <c r="M52" s="374"/>
      <c r="N52" s="375"/>
      <c r="O52" s="148" t="s">
        <v>352</v>
      </c>
      <c r="P52" s="148"/>
      <c r="Q52" s="148"/>
      <c r="R52" s="148"/>
      <c r="S52" s="151"/>
      <c r="T52" s="148" t="s">
        <v>352</v>
      </c>
      <c r="U52" s="148"/>
      <c r="V52" s="150"/>
      <c r="W52" s="150"/>
      <c r="X52" s="119"/>
      <c r="Y52" s="118"/>
      <c r="Z52" s="188"/>
      <c r="AB52" s="189"/>
      <c r="AC52" s="344"/>
      <c r="AD52" s="345"/>
      <c r="AE52" s="345"/>
      <c r="AF52" s="345"/>
      <c r="AG52" s="346"/>
      <c r="AH52" s="324"/>
      <c r="AI52" s="325"/>
      <c r="AJ52" s="325"/>
      <c r="AK52" s="419"/>
    </row>
    <row r="53" spans="1:37" x14ac:dyDescent="0.25">
      <c r="A53" s="118"/>
      <c r="B53" s="119"/>
      <c r="C53" s="119"/>
      <c r="D53" s="119"/>
      <c r="E53" s="150"/>
      <c r="F53" s="150"/>
      <c r="G53" s="403"/>
      <c r="H53" s="404"/>
      <c r="I53" s="403"/>
      <c r="J53" s="404"/>
      <c r="K53" s="376"/>
      <c r="L53" s="377"/>
      <c r="M53" s="377"/>
      <c r="N53" s="378"/>
      <c r="O53" s="446"/>
      <c r="P53" s="359"/>
      <c r="Q53" s="359"/>
      <c r="R53" s="359"/>
      <c r="S53" s="360"/>
      <c r="T53" s="446"/>
      <c r="U53" s="359"/>
      <c r="V53" s="359"/>
      <c r="W53" s="359"/>
      <c r="X53" s="360"/>
      <c r="Y53" s="149" t="s">
        <v>318</v>
      </c>
      <c r="Z53" s="188"/>
      <c r="AB53" s="189"/>
      <c r="AC53" s="385"/>
      <c r="AD53" s="386"/>
      <c r="AE53" s="386"/>
      <c r="AF53" s="386"/>
      <c r="AG53" s="387"/>
      <c r="AH53" s="407"/>
      <c r="AI53" s="408"/>
      <c r="AJ53" s="408"/>
      <c r="AK53" s="409"/>
    </row>
    <row r="54" spans="1:37" x14ac:dyDescent="0.25">
      <c r="A54" s="118"/>
      <c r="B54" s="119"/>
      <c r="C54" s="119"/>
      <c r="D54" s="119"/>
      <c r="E54" s="150"/>
      <c r="F54" s="150"/>
      <c r="G54" s="403"/>
      <c r="H54" s="404"/>
      <c r="I54" s="403"/>
      <c r="J54" s="404"/>
      <c r="K54" s="376"/>
      <c r="L54" s="377"/>
      <c r="M54" s="377"/>
      <c r="N54" s="378"/>
      <c r="O54" s="148" t="s">
        <v>353</v>
      </c>
      <c r="P54" s="148"/>
      <c r="Q54" s="150"/>
      <c r="R54" s="150"/>
      <c r="S54" s="151"/>
      <c r="T54" s="148" t="s">
        <v>353</v>
      </c>
      <c r="U54" s="148"/>
      <c r="V54" s="150"/>
      <c r="W54" s="150"/>
      <c r="X54" s="119"/>
      <c r="Y54" s="149"/>
      <c r="Z54" s="188"/>
      <c r="AB54" s="189"/>
      <c r="AC54" s="385"/>
      <c r="AD54" s="386"/>
      <c r="AE54" s="386"/>
      <c r="AF54" s="386"/>
      <c r="AG54" s="387"/>
      <c r="AH54" s="407"/>
      <c r="AI54" s="408"/>
      <c r="AJ54" s="408"/>
      <c r="AK54" s="409"/>
    </row>
    <row r="55" spans="1:37" x14ac:dyDescent="0.25">
      <c r="A55" s="125"/>
      <c r="B55" s="126"/>
      <c r="C55" s="126"/>
      <c r="D55" s="126"/>
      <c r="E55" s="130"/>
      <c r="F55" s="130"/>
      <c r="G55" s="316"/>
      <c r="H55" s="317"/>
      <c r="I55" s="316"/>
      <c r="J55" s="317"/>
      <c r="K55" s="379"/>
      <c r="L55" s="380"/>
      <c r="M55" s="380"/>
      <c r="N55" s="381"/>
      <c r="O55" s="447"/>
      <c r="P55" s="448"/>
      <c r="Q55" s="448"/>
      <c r="R55" s="448"/>
      <c r="S55" s="449"/>
      <c r="T55" s="447"/>
      <c r="U55" s="448"/>
      <c r="V55" s="448"/>
      <c r="W55" s="448"/>
      <c r="X55" s="449"/>
      <c r="Y55" s="129" t="s">
        <v>318</v>
      </c>
      <c r="Z55" s="190"/>
      <c r="AA55" s="156"/>
      <c r="AB55" s="191"/>
      <c r="AC55" s="347"/>
      <c r="AD55" s="348"/>
      <c r="AE55" s="348"/>
      <c r="AF55" s="348"/>
      <c r="AG55" s="349"/>
      <c r="AH55" s="327"/>
      <c r="AI55" s="328"/>
      <c r="AJ55" s="328"/>
      <c r="AK55" s="420"/>
    </row>
    <row r="56" spans="1:37" ht="12.75" customHeight="1" x14ac:dyDescent="0.25">
      <c r="A56" s="131" t="s">
        <v>354</v>
      </c>
      <c r="B56" s="132"/>
      <c r="C56" s="132"/>
      <c r="D56" s="132"/>
      <c r="E56" s="124"/>
      <c r="F56" s="124"/>
      <c r="G56" s="314"/>
      <c r="H56" s="315"/>
      <c r="I56" s="314"/>
      <c r="J56" s="315"/>
      <c r="K56" s="373"/>
      <c r="L56" s="374"/>
      <c r="M56" s="374"/>
      <c r="N56" s="375"/>
      <c r="O56" s="334" t="s">
        <v>355</v>
      </c>
      <c r="P56" s="335"/>
      <c r="Q56" s="335"/>
      <c r="R56" s="330"/>
      <c r="S56" s="331"/>
      <c r="T56" s="334" t="s">
        <v>355</v>
      </c>
      <c r="U56" s="335"/>
      <c r="V56" s="335"/>
      <c r="W56" s="330"/>
      <c r="X56" s="331"/>
      <c r="Y56" s="123" t="s">
        <v>356</v>
      </c>
      <c r="Z56" s="185"/>
      <c r="AA56" s="184"/>
      <c r="AB56" s="186"/>
      <c r="AC56" s="450"/>
      <c r="AD56" s="451"/>
      <c r="AE56" s="451"/>
      <c r="AF56" s="451"/>
      <c r="AG56" s="452"/>
      <c r="AH56" s="324"/>
      <c r="AI56" s="325"/>
      <c r="AJ56" s="325"/>
      <c r="AK56" s="419"/>
    </row>
    <row r="57" spans="1:37" x14ac:dyDescent="0.25">
      <c r="A57" s="125"/>
      <c r="B57" s="126"/>
      <c r="C57" s="126"/>
      <c r="D57" s="126"/>
      <c r="E57" s="130"/>
      <c r="F57" s="130"/>
      <c r="G57" s="316"/>
      <c r="H57" s="317"/>
      <c r="I57" s="316"/>
      <c r="J57" s="317"/>
      <c r="K57" s="379"/>
      <c r="L57" s="380"/>
      <c r="M57" s="380"/>
      <c r="N57" s="381"/>
      <c r="O57" s="336"/>
      <c r="P57" s="337"/>
      <c r="Q57" s="337"/>
      <c r="R57" s="332"/>
      <c r="S57" s="333"/>
      <c r="T57" s="336"/>
      <c r="U57" s="337"/>
      <c r="V57" s="337"/>
      <c r="W57" s="332"/>
      <c r="X57" s="333"/>
      <c r="Y57" s="129" t="s">
        <v>318</v>
      </c>
      <c r="Z57" s="190"/>
      <c r="AA57" s="156"/>
      <c r="AB57" s="191"/>
      <c r="AC57" s="453"/>
      <c r="AD57" s="454"/>
      <c r="AE57" s="454"/>
      <c r="AF57" s="454"/>
      <c r="AG57" s="455"/>
      <c r="AH57" s="327"/>
      <c r="AI57" s="328"/>
      <c r="AJ57" s="328"/>
      <c r="AK57" s="420"/>
    </row>
    <row r="58" spans="1:37" x14ac:dyDescent="0.25">
      <c r="A58" s="118" t="s">
        <v>357</v>
      </c>
      <c r="B58" s="119"/>
      <c r="C58" s="119"/>
      <c r="D58" s="119"/>
      <c r="E58" s="150"/>
      <c r="F58" s="150"/>
      <c r="G58" s="314"/>
      <c r="H58" s="315"/>
      <c r="I58" s="314"/>
      <c r="J58" s="315"/>
      <c r="K58" s="456"/>
      <c r="L58" s="457"/>
      <c r="M58" s="457"/>
      <c r="N58" s="458"/>
      <c r="O58" s="148" t="s">
        <v>358</v>
      </c>
      <c r="P58" s="150"/>
      <c r="Q58" s="150"/>
      <c r="R58" s="150"/>
      <c r="S58" s="151"/>
      <c r="T58" s="148" t="s">
        <v>358</v>
      </c>
      <c r="U58" s="150"/>
      <c r="V58" s="119"/>
      <c r="W58" s="119"/>
      <c r="X58" s="119"/>
      <c r="Y58" s="192"/>
      <c r="Z58" s="131" t="s">
        <v>359</v>
      </c>
      <c r="AA58" s="132"/>
      <c r="AB58" s="193"/>
      <c r="AC58" s="344"/>
      <c r="AD58" s="345"/>
      <c r="AE58" s="345"/>
      <c r="AF58" s="345"/>
      <c r="AG58" s="346"/>
      <c r="AH58" s="324"/>
      <c r="AI58" s="325"/>
      <c r="AJ58" s="325"/>
      <c r="AK58" s="419"/>
    </row>
    <row r="59" spans="1:37" x14ac:dyDescent="0.25">
      <c r="A59" s="118"/>
      <c r="B59" s="119"/>
      <c r="C59" s="119"/>
      <c r="D59" s="119"/>
      <c r="E59" s="150"/>
      <c r="F59" s="150"/>
      <c r="G59" s="403"/>
      <c r="H59" s="404"/>
      <c r="I59" s="403"/>
      <c r="J59" s="404"/>
      <c r="K59" s="376"/>
      <c r="L59" s="377"/>
      <c r="M59" s="377"/>
      <c r="N59" s="378"/>
      <c r="O59" s="148" t="s">
        <v>360</v>
      </c>
      <c r="P59" s="150"/>
      <c r="Q59" s="148"/>
      <c r="R59" s="148"/>
      <c r="S59" s="151"/>
      <c r="T59" s="148" t="s">
        <v>360</v>
      </c>
      <c r="U59" s="150"/>
      <c r="V59" s="119"/>
      <c r="W59" s="119"/>
      <c r="X59" s="119"/>
      <c r="Y59" s="194"/>
      <c r="Z59" s="118" t="s">
        <v>361</v>
      </c>
      <c r="AA59" s="119"/>
      <c r="AB59" s="195"/>
      <c r="AC59" s="385"/>
      <c r="AD59" s="386"/>
      <c r="AE59" s="386"/>
      <c r="AF59" s="386"/>
      <c r="AG59" s="387"/>
      <c r="AH59" s="407"/>
      <c r="AI59" s="408"/>
      <c r="AJ59" s="408"/>
      <c r="AK59" s="409"/>
    </row>
    <row r="60" spans="1:37" x14ac:dyDescent="0.25">
      <c r="A60" s="118"/>
      <c r="B60" s="119"/>
      <c r="C60" s="119"/>
      <c r="D60" s="119"/>
      <c r="E60" s="150"/>
      <c r="F60" s="150"/>
      <c r="G60" s="403"/>
      <c r="H60" s="404"/>
      <c r="I60" s="403"/>
      <c r="J60" s="404"/>
      <c r="K60" s="376"/>
      <c r="L60" s="377"/>
      <c r="M60" s="377"/>
      <c r="N60" s="378"/>
      <c r="P60" s="150"/>
      <c r="Q60" s="148"/>
      <c r="R60" s="148"/>
      <c r="S60" s="151"/>
      <c r="U60" s="150"/>
      <c r="V60" s="119"/>
      <c r="W60" s="119"/>
      <c r="X60" s="196"/>
      <c r="Y60" s="194"/>
      <c r="Z60" s="118" t="s">
        <v>362</v>
      </c>
      <c r="AA60" s="119"/>
      <c r="AB60" s="195"/>
      <c r="AC60" s="385"/>
      <c r="AD60" s="386"/>
      <c r="AE60" s="386"/>
      <c r="AF60" s="386"/>
      <c r="AG60" s="387"/>
      <c r="AH60" s="407"/>
      <c r="AI60" s="408"/>
      <c r="AJ60" s="408"/>
      <c r="AK60" s="409"/>
    </row>
    <row r="61" spans="1:37" x14ac:dyDescent="0.25">
      <c r="A61" s="125"/>
      <c r="B61" s="126"/>
      <c r="C61" s="126"/>
      <c r="D61" s="126"/>
      <c r="E61" s="130"/>
      <c r="F61" s="130"/>
      <c r="G61" s="316"/>
      <c r="H61" s="317"/>
      <c r="I61" s="316"/>
      <c r="J61" s="317"/>
      <c r="K61" s="379"/>
      <c r="L61" s="380"/>
      <c r="M61" s="380"/>
      <c r="N61" s="381"/>
      <c r="O61" s="155" t="s">
        <v>363</v>
      </c>
      <c r="P61" s="130"/>
      <c r="Q61" s="155"/>
      <c r="R61" s="155"/>
      <c r="S61" s="128"/>
      <c r="T61" s="155" t="s">
        <v>363</v>
      </c>
      <c r="U61" s="130"/>
      <c r="V61" s="126"/>
      <c r="W61" s="126"/>
      <c r="X61" s="126"/>
      <c r="Y61" s="197"/>
      <c r="Z61" s="459">
        <v>5.7999999999999996E-3</v>
      </c>
      <c r="AA61" s="460"/>
      <c r="AB61" s="461"/>
      <c r="AC61" s="347"/>
      <c r="AD61" s="348"/>
      <c r="AE61" s="348"/>
      <c r="AF61" s="348"/>
      <c r="AG61" s="349"/>
      <c r="AH61" s="327"/>
      <c r="AI61" s="328"/>
      <c r="AJ61" s="328"/>
      <c r="AK61" s="420"/>
    </row>
    <row r="62" spans="1:37" ht="15" x14ac:dyDescent="0.25">
      <c r="A62" s="131" t="s">
        <v>364</v>
      </c>
      <c r="B62" s="132"/>
      <c r="C62" s="132"/>
      <c r="D62" s="132"/>
      <c r="E62" s="124"/>
      <c r="F62" s="124"/>
      <c r="G62" s="120"/>
      <c r="H62" s="198"/>
      <c r="I62" s="120"/>
      <c r="J62" s="121"/>
      <c r="K62" s="410"/>
      <c r="L62" s="411"/>
      <c r="M62" s="411"/>
      <c r="N62" s="412"/>
      <c r="O62" s="185" t="s">
        <v>511</v>
      </c>
      <c r="P62" s="184"/>
      <c r="Q62" s="184"/>
      <c r="R62" s="184"/>
      <c r="S62" s="184"/>
      <c r="T62" s="185" t="s">
        <v>511</v>
      </c>
      <c r="U62" s="184"/>
      <c r="V62" s="184"/>
      <c r="W62" s="184"/>
      <c r="X62" s="184"/>
      <c r="Y62" s="192"/>
      <c r="Z62" s="185"/>
      <c r="AA62" s="184"/>
      <c r="AB62" s="186"/>
      <c r="AC62" s="370"/>
      <c r="AD62" s="371"/>
      <c r="AE62" s="371"/>
      <c r="AF62" s="371"/>
      <c r="AG62" s="372"/>
      <c r="AH62" s="132"/>
      <c r="AI62" s="132"/>
      <c r="AJ62" s="132"/>
      <c r="AK62" s="193"/>
    </row>
    <row r="63" spans="1:37" x14ac:dyDescent="0.25">
      <c r="A63" s="161" t="s">
        <v>365</v>
      </c>
      <c r="B63" s="162"/>
      <c r="C63" s="162"/>
      <c r="D63" s="162"/>
      <c r="E63" s="167"/>
      <c r="F63" s="167"/>
      <c r="G63" s="401"/>
      <c r="H63" s="402"/>
      <c r="I63" s="401"/>
      <c r="J63" s="402"/>
      <c r="K63" s="389"/>
      <c r="L63" s="390"/>
      <c r="M63" s="390"/>
      <c r="N63" s="391"/>
      <c r="O63" s="188" t="s">
        <v>512</v>
      </c>
      <c r="Q63" s="117" t="s">
        <v>517</v>
      </c>
      <c r="T63" s="188" t="s">
        <v>512</v>
      </c>
      <c r="V63" s="117" t="s">
        <v>517</v>
      </c>
      <c r="Y63" s="463" t="s">
        <v>366</v>
      </c>
      <c r="Z63" s="188"/>
      <c r="AB63" s="189"/>
      <c r="AC63" s="462"/>
      <c r="AD63" s="462"/>
      <c r="AE63" s="462"/>
      <c r="AF63" s="462"/>
      <c r="AG63" s="462"/>
      <c r="AH63" s="407"/>
      <c r="AI63" s="408"/>
      <c r="AJ63" s="408"/>
      <c r="AK63" s="409"/>
    </row>
    <row r="64" spans="1:37" ht="13" x14ac:dyDescent="0.3">
      <c r="A64" s="170"/>
      <c r="B64" s="171"/>
      <c r="C64" s="171"/>
      <c r="D64" s="171"/>
      <c r="E64" s="176"/>
      <c r="F64" s="176"/>
      <c r="G64" s="405"/>
      <c r="H64" s="406"/>
      <c r="I64" s="405"/>
      <c r="J64" s="406"/>
      <c r="K64" s="392"/>
      <c r="L64" s="393"/>
      <c r="M64" s="393"/>
      <c r="N64" s="394"/>
      <c r="O64" s="188" t="s">
        <v>513</v>
      </c>
      <c r="P64" s="117" t="s">
        <v>246</v>
      </c>
      <c r="Q64" s="117" t="s">
        <v>513</v>
      </c>
      <c r="R64" s="117" t="s">
        <v>246</v>
      </c>
      <c r="T64" s="188" t="s">
        <v>513</v>
      </c>
      <c r="U64" s="117" t="s">
        <v>246</v>
      </c>
      <c r="V64" s="117" t="s">
        <v>513</v>
      </c>
      <c r="W64" s="117" t="s">
        <v>246</v>
      </c>
      <c r="Y64" s="464"/>
      <c r="Z64" s="188"/>
      <c r="AB64" s="189"/>
      <c r="AC64" s="462"/>
      <c r="AD64" s="462"/>
      <c r="AE64" s="462"/>
      <c r="AF64" s="462"/>
      <c r="AG64" s="462"/>
      <c r="AH64" s="407"/>
      <c r="AI64" s="408"/>
      <c r="AJ64" s="408"/>
      <c r="AK64" s="409"/>
    </row>
    <row r="65" spans="1:37" x14ac:dyDescent="0.25">
      <c r="A65" s="161" t="s">
        <v>367</v>
      </c>
      <c r="B65" s="162"/>
      <c r="C65" s="162"/>
      <c r="D65" s="162"/>
      <c r="E65" s="167"/>
      <c r="F65" s="167"/>
      <c r="G65" s="401"/>
      <c r="H65" s="402"/>
      <c r="I65" s="401"/>
      <c r="J65" s="402"/>
      <c r="K65" s="389"/>
      <c r="L65" s="390"/>
      <c r="M65" s="390"/>
      <c r="N65" s="391"/>
      <c r="O65" s="188" t="s">
        <v>514</v>
      </c>
      <c r="P65" s="117" t="s">
        <v>246</v>
      </c>
      <c r="Q65" s="117" t="s">
        <v>514</v>
      </c>
      <c r="R65" s="117" t="s">
        <v>246</v>
      </c>
      <c r="T65" s="188" t="s">
        <v>514</v>
      </c>
      <c r="U65" s="117" t="s">
        <v>246</v>
      </c>
      <c r="V65" s="117" t="s">
        <v>514</v>
      </c>
      <c r="W65" s="117" t="s">
        <v>246</v>
      </c>
      <c r="Y65" s="464"/>
      <c r="Z65" s="188"/>
      <c r="AB65" s="189"/>
      <c r="AC65" s="462"/>
      <c r="AD65" s="462"/>
      <c r="AE65" s="462"/>
      <c r="AF65" s="462"/>
      <c r="AG65" s="462"/>
      <c r="AH65" s="407"/>
      <c r="AI65" s="408"/>
      <c r="AJ65" s="408"/>
      <c r="AK65" s="409"/>
    </row>
    <row r="66" spans="1:37" x14ac:dyDescent="0.25">
      <c r="A66" s="170"/>
      <c r="B66" s="171"/>
      <c r="C66" s="171"/>
      <c r="D66" s="171"/>
      <c r="E66" s="176"/>
      <c r="F66" s="176"/>
      <c r="G66" s="405"/>
      <c r="H66" s="406"/>
      <c r="I66" s="405"/>
      <c r="J66" s="406"/>
      <c r="K66" s="392"/>
      <c r="L66" s="393"/>
      <c r="M66" s="393"/>
      <c r="N66" s="394"/>
      <c r="O66" s="188" t="s">
        <v>515</v>
      </c>
      <c r="P66" s="117" t="s">
        <v>246</v>
      </c>
      <c r="Q66" s="117" t="s">
        <v>515</v>
      </c>
      <c r="R66" s="117" t="s">
        <v>246</v>
      </c>
      <c r="T66" s="188" t="s">
        <v>515</v>
      </c>
      <c r="U66" s="117" t="s">
        <v>246</v>
      </c>
      <c r="V66" s="117" t="s">
        <v>515</v>
      </c>
      <c r="W66" s="117" t="s">
        <v>246</v>
      </c>
      <c r="Y66" s="464"/>
      <c r="Z66" s="188"/>
      <c r="AB66" s="189"/>
      <c r="AC66" s="462"/>
      <c r="AD66" s="462"/>
      <c r="AE66" s="462"/>
      <c r="AF66" s="462"/>
      <c r="AG66" s="462"/>
      <c r="AH66" s="407"/>
      <c r="AI66" s="408"/>
      <c r="AJ66" s="408"/>
      <c r="AK66" s="409"/>
    </row>
    <row r="67" spans="1:37" x14ac:dyDescent="0.25">
      <c r="A67" s="147" t="s">
        <v>368</v>
      </c>
      <c r="B67" s="119"/>
      <c r="C67" s="119"/>
      <c r="D67" s="119"/>
      <c r="E67" s="150"/>
      <c r="F67" s="150"/>
      <c r="G67" s="401"/>
      <c r="H67" s="402"/>
      <c r="I67" s="401"/>
      <c r="J67" s="402"/>
      <c r="K67" s="389"/>
      <c r="L67" s="390"/>
      <c r="M67" s="390"/>
      <c r="N67" s="391"/>
      <c r="O67" s="188" t="s">
        <v>516</v>
      </c>
      <c r="P67" s="117" t="s">
        <v>246</v>
      </c>
      <c r="Q67" s="117" t="s">
        <v>516</v>
      </c>
      <c r="R67" s="117" t="s">
        <v>246</v>
      </c>
      <c r="T67" s="188" t="s">
        <v>516</v>
      </c>
      <c r="U67" s="117" t="s">
        <v>246</v>
      </c>
      <c r="V67" s="117" t="s">
        <v>516</v>
      </c>
      <c r="W67" s="117" t="s">
        <v>246</v>
      </c>
      <c r="Y67" s="464"/>
      <c r="Z67" s="188"/>
      <c r="AB67" s="189"/>
      <c r="AC67" s="462"/>
      <c r="AD67" s="462"/>
      <c r="AE67" s="462"/>
      <c r="AF67" s="462"/>
      <c r="AG67" s="462"/>
      <c r="AH67" s="407"/>
      <c r="AI67" s="408"/>
      <c r="AJ67" s="408"/>
      <c r="AK67" s="409"/>
    </row>
    <row r="68" spans="1:37" x14ac:dyDescent="0.25">
      <c r="A68" s="125"/>
      <c r="B68" s="126"/>
      <c r="C68" s="126"/>
      <c r="D68" s="126"/>
      <c r="E68" s="130"/>
      <c r="F68" s="130"/>
      <c r="G68" s="316"/>
      <c r="H68" s="317"/>
      <c r="I68" s="316"/>
      <c r="J68" s="317"/>
      <c r="K68" s="379"/>
      <c r="L68" s="380"/>
      <c r="M68" s="380"/>
      <c r="N68" s="381"/>
      <c r="O68" s="190"/>
      <c r="P68" s="156"/>
      <c r="Q68" s="156"/>
      <c r="R68" s="156"/>
      <c r="S68" s="156"/>
      <c r="T68" s="190"/>
      <c r="U68" s="156"/>
      <c r="V68" s="156"/>
      <c r="W68" s="156"/>
      <c r="X68" s="156"/>
      <c r="Y68" s="465"/>
      <c r="Z68" s="190"/>
      <c r="AA68" s="156"/>
      <c r="AB68" s="191"/>
      <c r="AC68" s="462"/>
      <c r="AD68" s="462"/>
      <c r="AE68" s="462"/>
      <c r="AF68" s="462"/>
      <c r="AG68" s="462"/>
      <c r="AH68" s="327"/>
      <c r="AI68" s="328"/>
      <c r="AJ68" s="328"/>
      <c r="AK68" s="420"/>
    </row>
    <row r="69" spans="1:37" x14ac:dyDescent="0.25">
      <c r="A69" s="131" t="s">
        <v>369</v>
      </c>
      <c r="B69" s="132"/>
      <c r="C69" s="132"/>
      <c r="D69" s="132"/>
      <c r="E69" s="124"/>
      <c r="F69" s="124"/>
      <c r="G69" s="314"/>
      <c r="H69" s="315"/>
      <c r="I69" s="314"/>
      <c r="J69" s="315"/>
      <c r="K69" s="456"/>
      <c r="L69" s="457"/>
      <c r="M69" s="457"/>
      <c r="N69" s="458"/>
      <c r="O69" s="124"/>
      <c r="P69" s="124"/>
      <c r="Q69" s="124"/>
      <c r="R69" s="124"/>
      <c r="S69" s="124"/>
      <c r="T69" s="123"/>
      <c r="U69" s="124"/>
      <c r="V69" s="132"/>
      <c r="W69" s="132"/>
      <c r="X69" s="193"/>
      <c r="Y69" s="192"/>
      <c r="Z69" s="185"/>
      <c r="AA69" s="184"/>
      <c r="AB69" s="186"/>
      <c r="AC69" s="344"/>
      <c r="AD69" s="345"/>
      <c r="AE69" s="345"/>
      <c r="AF69" s="345"/>
      <c r="AG69" s="346"/>
      <c r="AH69" s="324"/>
      <c r="AI69" s="325"/>
      <c r="AJ69" s="325"/>
      <c r="AK69" s="419"/>
    </row>
    <row r="70" spans="1:37" x14ac:dyDescent="0.25">
      <c r="A70" s="125"/>
      <c r="B70" s="126"/>
      <c r="C70" s="126"/>
      <c r="D70" s="126"/>
      <c r="E70" s="130"/>
      <c r="F70" s="130"/>
      <c r="G70" s="316"/>
      <c r="H70" s="317"/>
      <c r="I70" s="316"/>
      <c r="J70" s="317"/>
      <c r="K70" s="466"/>
      <c r="L70" s="467"/>
      <c r="M70" s="467"/>
      <c r="N70" s="468"/>
      <c r="O70" s="130"/>
      <c r="P70" s="130"/>
      <c r="Q70" s="130"/>
      <c r="R70" s="130"/>
      <c r="S70" s="130"/>
      <c r="T70" s="129"/>
      <c r="U70" s="130"/>
      <c r="V70" s="126"/>
      <c r="W70" s="126"/>
      <c r="X70" s="199"/>
      <c r="Y70" s="197"/>
      <c r="Z70" s="190"/>
      <c r="AA70" s="156"/>
      <c r="AB70" s="191"/>
      <c r="AC70" s="347"/>
      <c r="AD70" s="348"/>
      <c r="AE70" s="348"/>
      <c r="AF70" s="348"/>
      <c r="AG70" s="349"/>
      <c r="AH70" s="327"/>
      <c r="AI70" s="328"/>
      <c r="AJ70" s="328"/>
      <c r="AK70" s="420"/>
    </row>
    <row r="71" spans="1:37" x14ac:dyDescent="0.25">
      <c r="A71" s="118" t="s">
        <v>370</v>
      </c>
      <c r="B71" s="119"/>
      <c r="C71" s="119"/>
      <c r="D71" s="119"/>
      <c r="E71" s="150"/>
      <c r="F71" s="150"/>
      <c r="G71" s="473"/>
      <c r="H71" s="474"/>
      <c r="I71" s="473"/>
      <c r="J71" s="474"/>
      <c r="K71" s="475"/>
      <c r="L71" s="476"/>
      <c r="M71" s="476"/>
      <c r="N71" s="477"/>
      <c r="O71" s="150"/>
      <c r="P71" s="150"/>
      <c r="Q71" s="150"/>
      <c r="R71" s="150"/>
      <c r="S71" s="150"/>
      <c r="T71" s="149"/>
      <c r="U71" s="150"/>
      <c r="V71" s="119"/>
      <c r="W71" s="119"/>
      <c r="X71" s="119"/>
      <c r="Y71" s="194"/>
      <c r="Z71" s="188"/>
      <c r="AB71" s="189"/>
      <c r="AC71" s="370"/>
      <c r="AD71" s="371"/>
      <c r="AE71" s="371"/>
      <c r="AF71" s="371"/>
      <c r="AG71" s="372"/>
      <c r="AH71" s="478"/>
      <c r="AI71" s="479"/>
      <c r="AJ71" s="479"/>
      <c r="AK71" s="480"/>
    </row>
    <row r="72" spans="1:37" x14ac:dyDescent="0.25">
      <c r="A72" s="131" t="s">
        <v>371</v>
      </c>
      <c r="B72" s="132"/>
      <c r="C72" s="341"/>
      <c r="D72" s="341"/>
      <c r="E72" s="341"/>
      <c r="F72" s="331"/>
      <c r="G72" s="314"/>
      <c r="H72" s="315"/>
      <c r="I72" s="314"/>
      <c r="J72" s="315"/>
      <c r="K72" s="340"/>
      <c r="L72" s="341"/>
      <c r="M72" s="341"/>
      <c r="N72" s="331"/>
      <c r="O72" s="124"/>
      <c r="P72" s="124"/>
      <c r="Q72" s="124"/>
      <c r="R72" s="124"/>
      <c r="S72" s="124"/>
      <c r="T72" s="123"/>
      <c r="U72" s="124"/>
      <c r="V72" s="132"/>
      <c r="W72" s="132"/>
      <c r="X72" s="132"/>
      <c r="Y72" s="192"/>
      <c r="Z72" s="185"/>
      <c r="AA72" s="184"/>
      <c r="AB72" s="186"/>
      <c r="AC72" s="324"/>
      <c r="AD72" s="325"/>
      <c r="AE72" s="325"/>
      <c r="AF72" s="325"/>
      <c r="AG72" s="419"/>
      <c r="AH72" s="324"/>
      <c r="AI72" s="325"/>
      <c r="AJ72" s="325"/>
      <c r="AK72" s="419"/>
    </row>
    <row r="73" spans="1:37" ht="12.75" customHeight="1" x14ac:dyDescent="0.25">
      <c r="A73" s="118"/>
      <c r="B73" s="119"/>
      <c r="C73" s="383"/>
      <c r="D73" s="383"/>
      <c r="E73" s="383"/>
      <c r="F73" s="384"/>
      <c r="G73" s="403"/>
      <c r="H73" s="404"/>
      <c r="I73" s="403"/>
      <c r="J73" s="404"/>
      <c r="K73" s="382"/>
      <c r="L73" s="383"/>
      <c r="M73" s="383"/>
      <c r="N73" s="384"/>
      <c r="O73" s="119"/>
      <c r="P73" s="119"/>
      <c r="Q73" s="119"/>
      <c r="R73" s="119"/>
      <c r="S73" s="119"/>
      <c r="T73" s="118"/>
      <c r="V73" s="119"/>
      <c r="W73" s="119"/>
      <c r="X73" s="119"/>
      <c r="Y73" s="194"/>
      <c r="Z73" s="188"/>
      <c r="AB73" s="189"/>
      <c r="AC73" s="407"/>
      <c r="AD73" s="408"/>
      <c r="AE73" s="408"/>
      <c r="AF73" s="408"/>
      <c r="AG73" s="409"/>
      <c r="AH73" s="407"/>
      <c r="AI73" s="408"/>
      <c r="AJ73" s="408"/>
      <c r="AK73" s="409"/>
    </row>
    <row r="74" spans="1:37" ht="13" x14ac:dyDescent="0.3">
      <c r="A74" s="200"/>
      <c r="B74" s="201"/>
      <c r="C74" s="343"/>
      <c r="D74" s="343"/>
      <c r="E74" s="343"/>
      <c r="F74" s="333"/>
      <c r="G74" s="316"/>
      <c r="H74" s="317"/>
      <c r="I74" s="316"/>
      <c r="J74" s="317"/>
      <c r="K74" s="469"/>
      <c r="L74" s="470"/>
      <c r="M74" s="470"/>
      <c r="N74" s="471"/>
      <c r="O74" s="201"/>
      <c r="P74" s="201"/>
      <c r="Q74" s="201"/>
      <c r="R74" s="201"/>
      <c r="S74" s="201"/>
      <c r="T74" s="202"/>
      <c r="U74" s="201"/>
      <c r="V74" s="201"/>
      <c r="W74" s="201"/>
      <c r="X74" s="201"/>
      <c r="Y74" s="203"/>
      <c r="Z74" s="202"/>
      <c r="AA74" s="201"/>
      <c r="AB74" s="204"/>
      <c r="AC74" s="327"/>
      <c r="AD74" s="328"/>
      <c r="AE74" s="328"/>
      <c r="AF74" s="328"/>
      <c r="AG74" s="420"/>
      <c r="AH74" s="327"/>
      <c r="AI74" s="328"/>
      <c r="AJ74" s="328"/>
      <c r="AK74" s="420"/>
    </row>
    <row r="75" spans="1:37" ht="13" x14ac:dyDescent="0.3">
      <c r="A75" s="190"/>
      <c r="B75" s="156"/>
      <c r="C75" s="156"/>
      <c r="D75" s="201"/>
      <c r="E75" s="201"/>
      <c r="F75" s="201"/>
      <c r="G75" s="201"/>
      <c r="H75" s="472"/>
      <c r="I75" s="472"/>
      <c r="J75" s="201"/>
      <c r="K75" s="156"/>
      <c r="L75" s="156"/>
      <c r="M75" s="201"/>
      <c r="N75" s="201"/>
      <c r="O75" s="201"/>
      <c r="P75" s="201"/>
      <c r="Q75" s="472"/>
      <c r="R75" s="472"/>
      <c r="S75" s="472"/>
      <c r="T75" s="201"/>
      <c r="U75" s="156"/>
      <c r="V75" s="156"/>
      <c r="W75" s="156"/>
      <c r="X75" s="156"/>
      <c r="Y75" s="156"/>
      <c r="Z75" s="156"/>
      <c r="AA75" s="156"/>
      <c r="AB75" s="156"/>
      <c r="AC75" s="156"/>
      <c r="AD75" s="156"/>
      <c r="AE75" s="156"/>
      <c r="AF75" s="156"/>
      <c r="AG75" s="156"/>
      <c r="AH75" s="156"/>
      <c r="AI75" s="156"/>
      <c r="AJ75" s="156"/>
      <c r="AK75" s="191"/>
    </row>
  </sheetData>
  <mergeCells count="204">
    <mergeCell ref="H75:I75"/>
    <mergeCell ref="Q75:S75"/>
    <mergeCell ref="G71:H71"/>
    <mergeCell ref="I71:J71"/>
    <mergeCell ref="K71:N71"/>
    <mergeCell ref="AC71:AG71"/>
    <mergeCell ref="AH71:AK71"/>
    <mergeCell ref="C72:F74"/>
    <mergeCell ref="G72:H74"/>
    <mergeCell ref="I72:J74"/>
    <mergeCell ref="K72:N72"/>
    <mergeCell ref="AC72:AG74"/>
    <mergeCell ref="AH67:AK68"/>
    <mergeCell ref="G69:H70"/>
    <mergeCell ref="I69:J70"/>
    <mergeCell ref="K69:N69"/>
    <mergeCell ref="AC69:AG70"/>
    <mergeCell ref="AH69:AK70"/>
    <mergeCell ref="K70:N70"/>
    <mergeCell ref="AH72:AK74"/>
    <mergeCell ref="K73:N73"/>
    <mergeCell ref="K74:N74"/>
    <mergeCell ref="G58:H61"/>
    <mergeCell ref="I58:J61"/>
    <mergeCell ref="K58:N58"/>
    <mergeCell ref="AC58:AG61"/>
    <mergeCell ref="AH58:AK61"/>
    <mergeCell ref="K59:N61"/>
    <mergeCell ref="Z61:AB61"/>
    <mergeCell ref="AH63:AK64"/>
    <mergeCell ref="G65:H66"/>
    <mergeCell ref="I65:J66"/>
    <mergeCell ref="K65:N66"/>
    <mergeCell ref="AC65:AG66"/>
    <mergeCell ref="AH65:AK66"/>
    <mergeCell ref="K62:N62"/>
    <mergeCell ref="AC62:AG62"/>
    <mergeCell ref="G63:H64"/>
    <mergeCell ref="I63:J64"/>
    <mergeCell ref="K63:N64"/>
    <mergeCell ref="Y63:Y68"/>
    <mergeCell ref="AC63:AG64"/>
    <mergeCell ref="G67:H68"/>
    <mergeCell ref="I67:J68"/>
    <mergeCell ref="K67:N68"/>
    <mergeCell ref="AC67:AG68"/>
    <mergeCell ref="G56:H57"/>
    <mergeCell ref="I56:J57"/>
    <mergeCell ref="K56:N57"/>
    <mergeCell ref="O56:Q57"/>
    <mergeCell ref="R56:S57"/>
    <mergeCell ref="T56:V57"/>
    <mergeCell ref="W56:X57"/>
    <mergeCell ref="AC56:AG57"/>
    <mergeCell ref="AH56:AK57"/>
    <mergeCell ref="G52:H55"/>
    <mergeCell ref="I52:J55"/>
    <mergeCell ref="K52:N55"/>
    <mergeCell ref="AC52:AG55"/>
    <mergeCell ref="AH52:AK55"/>
    <mergeCell ref="O53:S53"/>
    <mergeCell ref="T53:X53"/>
    <mergeCell ref="O55:S55"/>
    <mergeCell ref="T55:X55"/>
    <mergeCell ref="G48:H51"/>
    <mergeCell ref="I48:J51"/>
    <mergeCell ref="K48:N51"/>
    <mergeCell ref="O48:P51"/>
    <mergeCell ref="Q48:S51"/>
    <mergeCell ref="T48:U51"/>
    <mergeCell ref="V48:X51"/>
    <mergeCell ref="AC48:AG51"/>
    <mergeCell ref="AH48:AK51"/>
    <mergeCell ref="G42:H44"/>
    <mergeCell ref="I42:J44"/>
    <mergeCell ref="K42:N44"/>
    <mergeCell ref="AC42:AG44"/>
    <mergeCell ref="AH42:AK44"/>
    <mergeCell ref="G45:H47"/>
    <mergeCell ref="I45:J47"/>
    <mergeCell ref="K45:N47"/>
    <mergeCell ref="AC45:AG47"/>
    <mergeCell ref="AH45:AK47"/>
    <mergeCell ref="G37:H38"/>
    <mergeCell ref="I37:J38"/>
    <mergeCell ref="K37:N38"/>
    <mergeCell ref="AC37:AG38"/>
    <mergeCell ref="AH37:AK38"/>
    <mergeCell ref="G39:H41"/>
    <mergeCell ref="I39:J41"/>
    <mergeCell ref="K39:N41"/>
    <mergeCell ref="O39:P41"/>
    <mergeCell ref="Q39:S41"/>
    <mergeCell ref="T39:U41"/>
    <mergeCell ref="V39:X41"/>
    <mergeCell ref="Y39:Y41"/>
    <mergeCell ref="AC39:AG41"/>
    <mergeCell ref="AH39:AK41"/>
    <mergeCell ref="G30:H32"/>
    <mergeCell ref="I30:J32"/>
    <mergeCell ref="K30:N32"/>
    <mergeCell ref="AH30:AK32"/>
    <mergeCell ref="K33:N36"/>
    <mergeCell ref="AC33:AG36"/>
    <mergeCell ref="AH33:AK36"/>
    <mergeCell ref="G34:H36"/>
    <mergeCell ref="I34:J36"/>
    <mergeCell ref="K25:N26"/>
    <mergeCell ref="AH25:AK26"/>
    <mergeCell ref="G27:H29"/>
    <mergeCell ref="I27:J29"/>
    <mergeCell ref="K27:N29"/>
    <mergeCell ref="AH27:AK29"/>
    <mergeCell ref="V19:X19"/>
    <mergeCell ref="K20:N20"/>
    <mergeCell ref="AC20:AG32"/>
    <mergeCell ref="AH20:AK20"/>
    <mergeCell ref="G21:H24"/>
    <mergeCell ref="I21:J24"/>
    <mergeCell ref="K21:N24"/>
    <mergeCell ref="AH21:AK24"/>
    <mergeCell ref="G25:H26"/>
    <mergeCell ref="I25:J26"/>
    <mergeCell ref="AH16:AK19"/>
    <mergeCell ref="G17:H17"/>
    <mergeCell ref="I17:J17"/>
    <mergeCell ref="Q17:S17"/>
    <mergeCell ref="V17:X17"/>
    <mergeCell ref="G18:H18"/>
    <mergeCell ref="I18:J18"/>
    <mergeCell ref="Q18:S18"/>
    <mergeCell ref="V18:X18"/>
    <mergeCell ref="Q19:S19"/>
    <mergeCell ref="A14:F14"/>
    <mergeCell ref="K15:N15"/>
    <mergeCell ref="Z15:AB15"/>
    <mergeCell ref="AC15:AG15"/>
    <mergeCell ref="AH15:AK15"/>
    <mergeCell ref="K16:N19"/>
    <mergeCell ref="Q16:S16"/>
    <mergeCell ref="V16:X16"/>
    <mergeCell ref="Z16:AB19"/>
    <mergeCell ref="AC16:AG19"/>
    <mergeCell ref="T13:V14"/>
    <mergeCell ref="W13:X14"/>
    <mergeCell ref="Y13:Y14"/>
    <mergeCell ref="Z13:AB14"/>
    <mergeCell ref="AC13:AG14"/>
    <mergeCell ref="AH13:AK14"/>
    <mergeCell ref="W11:X12"/>
    <mergeCell ref="Y11:Y12"/>
    <mergeCell ref="Z11:AB12"/>
    <mergeCell ref="AC11:AG12"/>
    <mergeCell ref="AH11:AK12"/>
    <mergeCell ref="G13:H14"/>
    <mergeCell ref="I13:J14"/>
    <mergeCell ref="K13:N14"/>
    <mergeCell ref="O13:Q14"/>
    <mergeCell ref="R13:S14"/>
    <mergeCell ref="G11:H12"/>
    <mergeCell ref="I11:J12"/>
    <mergeCell ref="K11:N12"/>
    <mergeCell ref="O11:Q12"/>
    <mergeCell ref="R11:S12"/>
    <mergeCell ref="T11:V12"/>
    <mergeCell ref="T9:V10"/>
    <mergeCell ref="W9:X10"/>
    <mergeCell ref="Y9:Y10"/>
    <mergeCell ref="Z9:AB10"/>
    <mergeCell ref="AC9:AG10"/>
    <mergeCell ref="AH9:AK10"/>
    <mergeCell ref="W7:X8"/>
    <mergeCell ref="Y7:Y8"/>
    <mergeCell ref="Z7:AB8"/>
    <mergeCell ref="AC7:AG8"/>
    <mergeCell ref="AH7:AK8"/>
    <mergeCell ref="T7:V8"/>
    <mergeCell ref="G9:H10"/>
    <mergeCell ref="I9:J10"/>
    <mergeCell ref="K9:N10"/>
    <mergeCell ref="O9:Q10"/>
    <mergeCell ref="R9:S10"/>
    <mergeCell ref="G7:H8"/>
    <mergeCell ref="I7:J8"/>
    <mergeCell ref="K7:N8"/>
    <mergeCell ref="O7:Q8"/>
    <mergeCell ref="R7:S8"/>
    <mergeCell ref="AC5:AG6"/>
    <mergeCell ref="AH5:AK6"/>
    <mergeCell ref="A6:F6"/>
    <mergeCell ref="G6:H6"/>
    <mergeCell ref="I6:J6"/>
    <mergeCell ref="O6:S6"/>
    <mergeCell ref="T6:X6"/>
    <mergeCell ref="G1:AC1"/>
    <mergeCell ref="G2:AC2"/>
    <mergeCell ref="G3:AC4"/>
    <mergeCell ref="AH4:AI4"/>
    <mergeCell ref="A5:F5"/>
    <mergeCell ref="G5:J5"/>
    <mergeCell ref="K5:N6"/>
    <mergeCell ref="O5:X5"/>
    <mergeCell ref="Y5:Y6"/>
    <mergeCell ref="Z5:AB6"/>
  </mergeCells>
  <printOptions horizontalCentered="1" verticalCentered="1"/>
  <pageMargins left="0.25" right="0" top="0.25" bottom="0.25" header="0.5" footer="0.25"/>
  <pageSetup paperSize="9" scale="73" orientation="portrait" r:id="rId1"/>
  <headerFooter alignWithMargins="0">
    <oddFooter>&amp;L&amp;"Arial,Bold"&amp;8INTERNAL USE ONLY&amp;R&amp;"Tw Cen MT,Regular"&amp;5&amp;Z&amp;F</oddFooter>
  </headerFooter>
  <drawing r:id="rId2"/>
  <legacyDrawing r:id="rId3"/>
  <oleObjects>
    <mc:AlternateContent xmlns:mc="http://schemas.openxmlformats.org/markup-compatibility/2006">
      <mc:Choice Requires="x14">
        <oleObject progId="AutoCAD.Drawing.14" shapeId="6145" r:id="rId4">
          <objectPr defaultSize="0" autoPict="0" r:id="rId5">
            <anchor moveWithCells="1">
              <from>
                <xdr:col>0</xdr:col>
                <xdr:colOff>127000</xdr:colOff>
                <xdr:row>58</xdr:row>
                <xdr:rowOff>0</xdr:rowOff>
              </from>
              <to>
                <xdr:col>3</xdr:col>
                <xdr:colOff>114300</xdr:colOff>
                <xdr:row>60</xdr:row>
                <xdr:rowOff>139700</xdr:rowOff>
              </to>
            </anchor>
          </objectPr>
        </oleObject>
      </mc:Choice>
      <mc:Fallback>
        <oleObject progId="AutoCAD.Drawing.14" shapeId="6145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73344A-7AB1-4BEE-B4C0-7E276A3038E5}">
          <x14:formula1>
            <xm:f>LIST!$O$4:$O$5</xm:f>
          </x14:formula1>
          <xm:sqref>G7:J74</xm:sqref>
        </x14:dataValidation>
        <x14:dataValidation type="list" allowBlank="1" showInputMessage="1" showErrorMessage="1" xr:uid="{99907DB9-9923-4B5E-908D-2999A8324170}">
          <x14:formula1>
            <xm:f>LIST!$I$17:$I$41</xm:f>
          </x14:formula1>
          <xm:sqref>K7:N74</xm:sqref>
        </x14:dataValidation>
        <x14:dataValidation type="list" allowBlank="1" showInputMessage="1" showErrorMessage="1" xr:uid="{8CBEA7A3-0031-4E81-AF3E-B1EA365F4565}">
          <x14:formula1>
            <xm:f>LIST!$P$4:$P$6</xm:f>
          </x14:formula1>
          <xm:sqref>AC7:AG74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F3BA-7F5E-4467-A73C-C124410A7F15}">
  <sheetPr>
    <tabColor rgb="FF00B0F0"/>
  </sheetPr>
  <dimension ref="A1:AI74"/>
  <sheetViews>
    <sheetView view="pageBreakPreview" topLeftCell="A16" zoomScaleNormal="85" zoomScaleSheetLayoutView="100" workbookViewId="0">
      <selection activeCell="B29" sqref="B29:W48"/>
    </sheetView>
  </sheetViews>
  <sheetFormatPr defaultColWidth="3.7265625" defaultRowHeight="12.5" x14ac:dyDescent="0.25"/>
  <cols>
    <col min="1" max="3" width="3.7265625" style="117" customWidth="1"/>
    <col min="4" max="4" width="4.81640625" style="117" customWidth="1"/>
    <col min="5" max="11" width="3" style="117" customWidth="1"/>
    <col min="12" max="12" width="5.26953125" style="117" customWidth="1"/>
    <col min="13" max="22" width="3" style="117" customWidth="1"/>
    <col min="23" max="23" width="4.54296875" style="117" customWidth="1"/>
    <col min="24" max="24" width="5.81640625" style="117" customWidth="1"/>
    <col min="25" max="26" width="4.7265625" style="117" customWidth="1"/>
    <col min="27" max="34" width="3" style="117" customWidth="1"/>
    <col min="35" max="35" width="5.54296875" style="117" customWidth="1"/>
    <col min="36" max="259" width="3.7265625" style="117"/>
    <col min="260" max="260" width="4.81640625" style="117" customWidth="1"/>
    <col min="261" max="267" width="3" style="117" customWidth="1"/>
    <col min="268" max="268" width="5.26953125" style="117" customWidth="1"/>
    <col min="269" max="278" width="3" style="117" customWidth="1"/>
    <col min="279" max="279" width="4.54296875" style="117" customWidth="1"/>
    <col min="280" max="280" width="5.81640625" style="117" customWidth="1"/>
    <col min="281" max="282" width="4.7265625" style="117" customWidth="1"/>
    <col min="283" max="290" width="3" style="117" customWidth="1"/>
    <col min="291" max="291" width="5.54296875" style="117" customWidth="1"/>
    <col min="292" max="515" width="3.7265625" style="117"/>
    <col min="516" max="516" width="4.81640625" style="117" customWidth="1"/>
    <col min="517" max="523" width="3" style="117" customWidth="1"/>
    <col min="524" max="524" width="5.26953125" style="117" customWidth="1"/>
    <col min="525" max="534" width="3" style="117" customWidth="1"/>
    <col min="535" max="535" width="4.54296875" style="117" customWidth="1"/>
    <col min="536" max="536" width="5.81640625" style="117" customWidth="1"/>
    <col min="537" max="538" width="4.7265625" style="117" customWidth="1"/>
    <col min="539" max="546" width="3" style="117" customWidth="1"/>
    <col min="547" max="547" width="5.54296875" style="117" customWidth="1"/>
    <col min="548" max="771" width="3.7265625" style="117"/>
    <col min="772" max="772" width="4.81640625" style="117" customWidth="1"/>
    <col min="773" max="779" width="3" style="117" customWidth="1"/>
    <col min="780" max="780" width="5.26953125" style="117" customWidth="1"/>
    <col min="781" max="790" width="3" style="117" customWidth="1"/>
    <col min="791" max="791" width="4.54296875" style="117" customWidth="1"/>
    <col min="792" max="792" width="5.81640625" style="117" customWidth="1"/>
    <col min="793" max="794" width="4.7265625" style="117" customWidth="1"/>
    <col min="795" max="802" width="3" style="117" customWidth="1"/>
    <col min="803" max="803" width="5.54296875" style="117" customWidth="1"/>
    <col min="804" max="1027" width="3.7265625" style="117"/>
    <col min="1028" max="1028" width="4.81640625" style="117" customWidth="1"/>
    <col min="1029" max="1035" width="3" style="117" customWidth="1"/>
    <col min="1036" max="1036" width="5.26953125" style="117" customWidth="1"/>
    <col min="1037" max="1046" width="3" style="117" customWidth="1"/>
    <col min="1047" max="1047" width="4.54296875" style="117" customWidth="1"/>
    <col min="1048" max="1048" width="5.81640625" style="117" customWidth="1"/>
    <col min="1049" max="1050" width="4.7265625" style="117" customWidth="1"/>
    <col min="1051" max="1058" width="3" style="117" customWidth="1"/>
    <col min="1059" max="1059" width="5.54296875" style="117" customWidth="1"/>
    <col min="1060" max="1283" width="3.7265625" style="117"/>
    <col min="1284" max="1284" width="4.81640625" style="117" customWidth="1"/>
    <col min="1285" max="1291" width="3" style="117" customWidth="1"/>
    <col min="1292" max="1292" width="5.26953125" style="117" customWidth="1"/>
    <col min="1293" max="1302" width="3" style="117" customWidth="1"/>
    <col min="1303" max="1303" width="4.54296875" style="117" customWidth="1"/>
    <col min="1304" max="1304" width="5.81640625" style="117" customWidth="1"/>
    <col min="1305" max="1306" width="4.7265625" style="117" customWidth="1"/>
    <col min="1307" max="1314" width="3" style="117" customWidth="1"/>
    <col min="1315" max="1315" width="5.54296875" style="117" customWidth="1"/>
    <col min="1316" max="1539" width="3.7265625" style="117"/>
    <col min="1540" max="1540" width="4.81640625" style="117" customWidth="1"/>
    <col min="1541" max="1547" width="3" style="117" customWidth="1"/>
    <col min="1548" max="1548" width="5.26953125" style="117" customWidth="1"/>
    <col min="1549" max="1558" width="3" style="117" customWidth="1"/>
    <col min="1559" max="1559" width="4.54296875" style="117" customWidth="1"/>
    <col min="1560" max="1560" width="5.81640625" style="117" customWidth="1"/>
    <col min="1561" max="1562" width="4.7265625" style="117" customWidth="1"/>
    <col min="1563" max="1570" width="3" style="117" customWidth="1"/>
    <col min="1571" max="1571" width="5.54296875" style="117" customWidth="1"/>
    <col min="1572" max="1795" width="3.7265625" style="117"/>
    <col min="1796" max="1796" width="4.81640625" style="117" customWidth="1"/>
    <col min="1797" max="1803" width="3" style="117" customWidth="1"/>
    <col min="1804" max="1804" width="5.26953125" style="117" customWidth="1"/>
    <col min="1805" max="1814" width="3" style="117" customWidth="1"/>
    <col min="1815" max="1815" width="4.54296875" style="117" customWidth="1"/>
    <col min="1816" max="1816" width="5.81640625" style="117" customWidth="1"/>
    <col min="1817" max="1818" width="4.7265625" style="117" customWidth="1"/>
    <col min="1819" max="1826" width="3" style="117" customWidth="1"/>
    <col min="1827" max="1827" width="5.54296875" style="117" customWidth="1"/>
    <col min="1828" max="2051" width="3.7265625" style="117"/>
    <col min="2052" max="2052" width="4.81640625" style="117" customWidth="1"/>
    <col min="2053" max="2059" width="3" style="117" customWidth="1"/>
    <col min="2060" max="2060" width="5.26953125" style="117" customWidth="1"/>
    <col min="2061" max="2070" width="3" style="117" customWidth="1"/>
    <col min="2071" max="2071" width="4.54296875" style="117" customWidth="1"/>
    <col min="2072" max="2072" width="5.81640625" style="117" customWidth="1"/>
    <col min="2073" max="2074" width="4.7265625" style="117" customWidth="1"/>
    <col min="2075" max="2082" width="3" style="117" customWidth="1"/>
    <col min="2083" max="2083" width="5.54296875" style="117" customWidth="1"/>
    <col min="2084" max="2307" width="3.7265625" style="117"/>
    <col min="2308" max="2308" width="4.81640625" style="117" customWidth="1"/>
    <col min="2309" max="2315" width="3" style="117" customWidth="1"/>
    <col min="2316" max="2316" width="5.26953125" style="117" customWidth="1"/>
    <col min="2317" max="2326" width="3" style="117" customWidth="1"/>
    <col min="2327" max="2327" width="4.54296875" style="117" customWidth="1"/>
    <col min="2328" max="2328" width="5.81640625" style="117" customWidth="1"/>
    <col min="2329" max="2330" width="4.7265625" style="117" customWidth="1"/>
    <col min="2331" max="2338" width="3" style="117" customWidth="1"/>
    <col min="2339" max="2339" width="5.54296875" style="117" customWidth="1"/>
    <col min="2340" max="2563" width="3.7265625" style="117"/>
    <col min="2564" max="2564" width="4.81640625" style="117" customWidth="1"/>
    <col min="2565" max="2571" width="3" style="117" customWidth="1"/>
    <col min="2572" max="2572" width="5.26953125" style="117" customWidth="1"/>
    <col min="2573" max="2582" width="3" style="117" customWidth="1"/>
    <col min="2583" max="2583" width="4.54296875" style="117" customWidth="1"/>
    <col min="2584" max="2584" width="5.81640625" style="117" customWidth="1"/>
    <col min="2585" max="2586" width="4.7265625" style="117" customWidth="1"/>
    <col min="2587" max="2594" width="3" style="117" customWidth="1"/>
    <col min="2595" max="2595" width="5.54296875" style="117" customWidth="1"/>
    <col min="2596" max="2819" width="3.7265625" style="117"/>
    <col min="2820" max="2820" width="4.81640625" style="117" customWidth="1"/>
    <col min="2821" max="2827" width="3" style="117" customWidth="1"/>
    <col min="2828" max="2828" width="5.26953125" style="117" customWidth="1"/>
    <col min="2829" max="2838" width="3" style="117" customWidth="1"/>
    <col min="2839" max="2839" width="4.54296875" style="117" customWidth="1"/>
    <col min="2840" max="2840" width="5.81640625" style="117" customWidth="1"/>
    <col min="2841" max="2842" width="4.7265625" style="117" customWidth="1"/>
    <col min="2843" max="2850" width="3" style="117" customWidth="1"/>
    <col min="2851" max="2851" width="5.54296875" style="117" customWidth="1"/>
    <col min="2852" max="3075" width="3.7265625" style="117"/>
    <col min="3076" max="3076" width="4.81640625" style="117" customWidth="1"/>
    <col min="3077" max="3083" width="3" style="117" customWidth="1"/>
    <col min="3084" max="3084" width="5.26953125" style="117" customWidth="1"/>
    <col min="3085" max="3094" width="3" style="117" customWidth="1"/>
    <col min="3095" max="3095" width="4.54296875" style="117" customWidth="1"/>
    <col min="3096" max="3096" width="5.81640625" style="117" customWidth="1"/>
    <col min="3097" max="3098" width="4.7265625" style="117" customWidth="1"/>
    <col min="3099" max="3106" width="3" style="117" customWidth="1"/>
    <col min="3107" max="3107" width="5.54296875" style="117" customWidth="1"/>
    <col min="3108" max="3331" width="3.7265625" style="117"/>
    <col min="3332" max="3332" width="4.81640625" style="117" customWidth="1"/>
    <col min="3333" max="3339" width="3" style="117" customWidth="1"/>
    <col min="3340" max="3340" width="5.26953125" style="117" customWidth="1"/>
    <col min="3341" max="3350" width="3" style="117" customWidth="1"/>
    <col min="3351" max="3351" width="4.54296875" style="117" customWidth="1"/>
    <col min="3352" max="3352" width="5.81640625" style="117" customWidth="1"/>
    <col min="3353" max="3354" width="4.7265625" style="117" customWidth="1"/>
    <col min="3355" max="3362" width="3" style="117" customWidth="1"/>
    <col min="3363" max="3363" width="5.54296875" style="117" customWidth="1"/>
    <col min="3364" max="3587" width="3.7265625" style="117"/>
    <col min="3588" max="3588" width="4.81640625" style="117" customWidth="1"/>
    <col min="3589" max="3595" width="3" style="117" customWidth="1"/>
    <col min="3596" max="3596" width="5.26953125" style="117" customWidth="1"/>
    <col min="3597" max="3606" width="3" style="117" customWidth="1"/>
    <col min="3607" max="3607" width="4.54296875" style="117" customWidth="1"/>
    <col min="3608" max="3608" width="5.81640625" style="117" customWidth="1"/>
    <col min="3609" max="3610" width="4.7265625" style="117" customWidth="1"/>
    <col min="3611" max="3618" width="3" style="117" customWidth="1"/>
    <col min="3619" max="3619" width="5.54296875" style="117" customWidth="1"/>
    <col min="3620" max="3843" width="3.7265625" style="117"/>
    <col min="3844" max="3844" width="4.81640625" style="117" customWidth="1"/>
    <col min="3845" max="3851" width="3" style="117" customWidth="1"/>
    <col min="3852" max="3852" width="5.26953125" style="117" customWidth="1"/>
    <col min="3853" max="3862" width="3" style="117" customWidth="1"/>
    <col min="3863" max="3863" width="4.54296875" style="117" customWidth="1"/>
    <col min="3864" max="3864" width="5.81640625" style="117" customWidth="1"/>
    <col min="3865" max="3866" width="4.7265625" style="117" customWidth="1"/>
    <col min="3867" max="3874" width="3" style="117" customWidth="1"/>
    <col min="3875" max="3875" width="5.54296875" style="117" customWidth="1"/>
    <col min="3876" max="4099" width="3.7265625" style="117"/>
    <col min="4100" max="4100" width="4.81640625" style="117" customWidth="1"/>
    <col min="4101" max="4107" width="3" style="117" customWidth="1"/>
    <col min="4108" max="4108" width="5.26953125" style="117" customWidth="1"/>
    <col min="4109" max="4118" width="3" style="117" customWidth="1"/>
    <col min="4119" max="4119" width="4.54296875" style="117" customWidth="1"/>
    <col min="4120" max="4120" width="5.81640625" style="117" customWidth="1"/>
    <col min="4121" max="4122" width="4.7265625" style="117" customWidth="1"/>
    <col min="4123" max="4130" width="3" style="117" customWidth="1"/>
    <col min="4131" max="4131" width="5.54296875" style="117" customWidth="1"/>
    <col min="4132" max="4355" width="3.7265625" style="117"/>
    <col min="4356" max="4356" width="4.81640625" style="117" customWidth="1"/>
    <col min="4357" max="4363" width="3" style="117" customWidth="1"/>
    <col min="4364" max="4364" width="5.26953125" style="117" customWidth="1"/>
    <col min="4365" max="4374" width="3" style="117" customWidth="1"/>
    <col min="4375" max="4375" width="4.54296875" style="117" customWidth="1"/>
    <col min="4376" max="4376" width="5.81640625" style="117" customWidth="1"/>
    <col min="4377" max="4378" width="4.7265625" style="117" customWidth="1"/>
    <col min="4379" max="4386" width="3" style="117" customWidth="1"/>
    <col min="4387" max="4387" width="5.54296875" style="117" customWidth="1"/>
    <col min="4388" max="4611" width="3.7265625" style="117"/>
    <col min="4612" max="4612" width="4.81640625" style="117" customWidth="1"/>
    <col min="4613" max="4619" width="3" style="117" customWidth="1"/>
    <col min="4620" max="4620" width="5.26953125" style="117" customWidth="1"/>
    <col min="4621" max="4630" width="3" style="117" customWidth="1"/>
    <col min="4631" max="4631" width="4.54296875" style="117" customWidth="1"/>
    <col min="4632" max="4632" width="5.81640625" style="117" customWidth="1"/>
    <col min="4633" max="4634" width="4.7265625" style="117" customWidth="1"/>
    <col min="4635" max="4642" width="3" style="117" customWidth="1"/>
    <col min="4643" max="4643" width="5.54296875" style="117" customWidth="1"/>
    <col min="4644" max="4867" width="3.7265625" style="117"/>
    <col min="4868" max="4868" width="4.81640625" style="117" customWidth="1"/>
    <col min="4869" max="4875" width="3" style="117" customWidth="1"/>
    <col min="4876" max="4876" width="5.26953125" style="117" customWidth="1"/>
    <col min="4877" max="4886" width="3" style="117" customWidth="1"/>
    <col min="4887" max="4887" width="4.54296875" style="117" customWidth="1"/>
    <col min="4888" max="4888" width="5.81640625" style="117" customWidth="1"/>
    <col min="4889" max="4890" width="4.7265625" style="117" customWidth="1"/>
    <col min="4891" max="4898" width="3" style="117" customWidth="1"/>
    <col min="4899" max="4899" width="5.54296875" style="117" customWidth="1"/>
    <col min="4900" max="5123" width="3.7265625" style="117"/>
    <col min="5124" max="5124" width="4.81640625" style="117" customWidth="1"/>
    <col min="5125" max="5131" width="3" style="117" customWidth="1"/>
    <col min="5132" max="5132" width="5.26953125" style="117" customWidth="1"/>
    <col min="5133" max="5142" width="3" style="117" customWidth="1"/>
    <col min="5143" max="5143" width="4.54296875" style="117" customWidth="1"/>
    <col min="5144" max="5144" width="5.81640625" style="117" customWidth="1"/>
    <col min="5145" max="5146" width="4.7265625" style="117" customWidth="1"/>
    <col min="5147" max="5154" width="3" style="117" customWidth="1"/>
    <col min="5155" max="5155" width="5.54296875" style="117" customWidth="1"/>
    <col min="5156" max="5379" width="3.7265625" style="117"/>
    <col min="5380" max="5380" width="4.81640625" style="117" customWidth="1"/>
    <col min="5381" max="5387" width="3" style="117" customWidth="1"/>
    <col min="5388" max="5388" width="5.26953125" style="117" customWidth="1"/>
    <col min="5389" max="5398" width="3" style="117" customWidth="1"/>
    <col min="5399" max="5399" width="4.54296875" style="117" customWidth="1"/>
    <col min="5400" max="5400" width="5.81640625" style="117" customWidth="1"/>
    <col min="5401" max="5402" width="4.7265625" style="117" customWidth="1"/>
    <col min="5403" max="5410" width="3" style="117" customWidth="1"/>
    <col min="5411" max="5411" width="5.54296875" style="117" customWidth="1"/>
    <col min="5412" max="5635" width="3.7265625" style="117"/>
    <col min="5636" max="5636" width="4.81640625" style="117" customWidth="1"/>
    <col min="5637" max="5643" width="3" style="117" customWidth="1"/>
    <col min="5644" max="5644" width="5.26953125" style="117" customWidth="1"/>
    <col min="5645" max="5654" width="3" style="117" customWidth="1"/>
    <col min="5655" max="5655" width="4.54296875" style="117" customWidth="1"/>
    <col min="5656" max="5656" width="5.81640625" style="117" customWidth="1"/>
    <col min="5657" max="5658" width="4.7265625" style="117" customWidth="1"/>
    <col min="5659" max="5666" width="3" style="117" customWidth="1"/>
    <col min="5667" max="5667" width="5.54296875" style="117" customWidth="1"/>
    <col min="5668" max="5891" width="3.7265625" style="117"/>
    <col min="5892" max="5892" width="4.81640625" style="117" customWidth="1"/>
    <col min="5893" max="5899" width="3" style="117" customWidth="1"/>
    <col min="5900" max="5900" width="5.26953125" style="117" customWidth="1"/>
    <col min="5901" max="5910" width="3" style="117" customWidth="1"/>
    <col min="5911" max="5911" width="4.54296875" style="117" customWidth="1"/>
    <col min="5912" max="5912" width="5.81640625" style="117" customWidth="1"/>
    <col min="5913" max="5914" width="4.7265625" style="117" customWidth="1"/>
    <col min="5915" max="5922" width="3" style="117" customWidth="1"/>
    <col min="5923" max="5923" width="5.54296875" style="117" customWidth="1"/>
    <col min="5924" max="6147" width="3.7265625" style="117"/>
    <col min="6148" max="6148" width="4.81640625" style="117" customWidth="1"/>
    <col min="6149" max="6155" width="3" style="117" customWidth="1"/>
    <col min="6156" max="6156" width="5.26953125" style="117" customWidth="1"/>
    <col min="6157" max="6166" width="3" style="117" customWidth="1"/>
    <col min="6167" max="6167" width="4.54296875" style="117" customWidth="1"/>
    <col min="6168" max="6168" width="5.81640625" style="117" customWidth="1"/>
    <col min="6169" max="6170" width="4.7265625" style="117" customWidth="1"/>
    <col min="6171" max="6178" width="3" style="117" customWidth="1"/>
    <col min="6179" max="6179" width="5.54296875" style="117" customWidth="1"/>
    <col min="6180" max="6403" width="3.7265625" style="117"/>
    <col min="6404" max="6404" width="4.81640625" style="117" customWidth="1"/>
    <col min="6405" max="6411" width="3" style="117" customWidth="1"/>
    <col min="6412" max="6412" width="5.26953125" style="117" customWidth="1"/>
    <col min="6413" max="6422" width="3" style="117" customWidth="1"/>
    <col min="6423" max="6423" width="4.54296875" style="117" customWidth="1"/>
    <col min="6424" max="6424" width="5.81640625" style="117" customWidth="1"/>
    <col min="6425" max="6426" width="4.7265625" style="117" customWidth="1"/>
    <col min="6427" max="6434" width="3" style="117" customWidth="1"/>
    <col min="6435" max="6435" width="5.54296875" style="117" customWidth="1"/>
    <col min="6436" max="6659" width="3.7265625" style="117"/>
    <col min="6660" max="6660" width="4.81640625" style="117" customWidth="1"/>
    <col min="6661" max="6667" width="3" style="117" customWidth="1"/>
    <col min="6668" max="6668" width="5.26953125" style="117" customWidth="1"/>
    <col min="6669" max="6678" width="3" style="117" customWidth="1"/>
    <col min="6679" max="6679" width="4.54296875" style="117" customWidth="1"/>
    <col min="6680" max="6680" width="5.81640625" style="117" customWidth="1"/>
    <col min="6681" max="6682" width="4.7265625" style="117" customWidth="1"/>
    <col min="6683" max="6690" width="3" style="117" customWidth="1"/>
    <col min="6691" max="6691" width="5.54296875" style="117" customWidth="1"/>
    <col min="6692" max="6915" width="3.7265625" style="117"/>
    <col min="6916" max="6916" width="4.81640625" style="117" customWidth="1"/>
    <col min="6917" max="6923" width="3" style="117" customWidth="1"/>
    <col min="6924" max="6924" width="5.26953125" style="117" customWidth="1"/>
    <col min="6925" max="6934" width="3" style="117" customWidth="1"/>
    <col min="6935" max="6935" width="4.54296875" style="117" customWidth="1"/>
    <col min="6936" max="6936" width="5.81640625" style="117" customWidth="1"/>
    <col min="6937" max="6938" width="4.7265625" style="117" customWidth="1"/>
    <col min="6939" max="6946" width="3" style="117" customWidth="1"/>
    <col min="6947" max="6947" width="5.54296875" style="117" customWidth="1"/>
    <col min="6948" max="7171" width="3.7265625" style="117"/>
    <col min="7172" max="7172" width="4.81640625" style="117" customWidth="1"/>
    <col min="7173" max="7179" width="3" style="117" customWidth="1"/>
    <col min="7180" max="7180" width="5.26953125" style="117" customWidth="1"/>
    <col min="7181" max="7190" width="3" style="117" customWidth="1"/>
    <col min="7191" max="7191" width="4.54296875" style="117" customWidth="1"/>
    <col min="7192" max="7192" width="5.81640625" style="117" customWidth="1"/>
    <col min="7193" max="7194" width="4.7265625" style="117" customWidth="1"/>
    <col min="7195" max="7202" width="3" style="117" customWidth="1"/>
    <col min="7203" max="7203" width="5.54296875" style="117" customWidth="1"/>
    <col min="7204" max="7427" width="3.7265625" style="117"/>
    <col min="7428" max="7428" width="4.81640625" style="117" customWidth="1"/>
    <col min="7429" max="7435" width="3" style="117" customWidth="1"/>
    <col min="7436" max="7436" width="5.26953125" style="117" customWidth="1"/>
    <col min="7437" max="7446" width="3" style="117" customWidth="1"/>
    <col min="7447" max="7447" width="4.54296875" style="117" customWidth="1"/>
    <col min="7448" max="7448" width="5.81640625" style="117" customWidth="1"/>
    <col min="7449" max="7450" width="4.7265625" style="117" customWidth="1"/>
    <col min="7451" max="7458" width="3" style="117" customWidth="1"/>
    <col min="7459" max="7459" width="5.54296875" style="117" customWidth="1"/>
    <col min="7460" max="7683" width="3.7265625" style="117"/>
    <col min="7684" max="7684" width="4.81640625" style="117" customWidth="1"/>
    <col min="7685" max="7691" width="3" style="117" customWidth="1"/>
    <col min="7692" max="7692" width="5.26953125" style="117" customWidth="1"/>
    <col min="7693" max="7702" width="3" style="117" customWidth="1"/>
    <col min="7703" max="7703" width="4.54296875" style="117" customWidth="1"/>
    <col min="7704" max="7704" width="5.81640625" style="117" customWidth="1"/>
    <col min="7705" max="7706" width="4.7265625" style="117" customWidth="1"/>
    <col min="7707" max="7714" width="3" style="117" customWidth="1"/>
    <col min="7715" max="7715" width="5.54296875" style="117" customWidth="1"/>
    <col min="7716" max="7939" width="3.7265625" style="117"/>
    <col min="7940" max="7940" width="4.81640625" style="117" customWidth="1"/>
    <col min="7941" max="7947" width="3" style="117" customWidth="1"/>
    <col min="7948" max="7948" width="5.26953125" style="117" customWidth="1"/>
    <col min="7949" max="7958" width="3" style="117" customWidth="1"/>
    <col min="7959" max="7959" width="4.54296875" style="117" customWidth="1"/>
    <col min="7960" max="7960" width="5.81640625" style="117" customWidth="1"/>
    <col min="7961" max="7962" width="4.7265625" style="117" customWidth="1"/>
    <col min="7963" max="7970" width="3" style="117" customWidth="1"/>
    <col min="7971" max="7971" width="5.54296875" style="117" customWidth="1"/>
    <col min="7972" max="8195" width="3.7265625" style="117"/>
    <col min="8196" max="8196" width="4.81640625" style="117" customWidth="1"/>
    <col min="8197" max="8203" width="3" style="117" customWidth="1"/>
    <col min="8204" max="8204" width="5.26953125" style="117" customWidth="1"/>
    <col min="8205" max="8214" width="3" style="117" customWidth="1"/>
    <col min="8215" max="8215" width="4.54296875" style="117" customWidth="1"/>
    <col min="8216" max="8216" width="5.81640625" style="117" customWidth="1"/>
    <col min="8217" max="8218" width="4.7265625" style="117" customWidth="1"/>
    <col min="8219" max="8226" width="3" style="117" customWidth="1"/>
    <col min="8227" max="8227" width="5.54296875" style="117" customWidth="1"/>
    <col min="8228" max="8451" width="3.7265625" style="117"/>
    <col min="8452" max="8452" width="4.81640625" style="117" customWidth="1"/>
    <col min="8453" max="8459" width="3" style="117" customWidth="1"/>
    <col min="8460" max="8460" width="5.26953125" style="117" customWidth="1"/>
    <col min="8461" max="8470" width="3" style="117" customWidth="1"/>
    <col min="8471" max="8471" width="4.54296875" style="117" customWidth="1"/>
    <col min="8472" max="8472" width="5.81640625" style="117" customWidth="1"/>
    <col min="8473" max="8474" width="4.7265625" style="117" customWidth="1"/>
    <col min="8475" max="8482" width="3" style="117" customWidth="1"/>
    <col min="8483" max="8483" width="5.54296875" style="117" customWidth="1"/>
    <col min="8484" max="8707" width="3.7265625" style="117"/>
    <col min="8708" max="8708" width="4.81640625" style="117" customWidth="1"/>
    <col min="8709" max="8715" width="3" style="117" customWidth="1"/>
    <col min="8716" max="8716" width="5.26953125" style="117" customWidth="1"/>
    <col min="8717" max="8726" width="3" style="117" customWidth="1"/>
    <col min="8727" max="8727" width="4.54296875" style="117" customWidth="1"/>
    <col min="8728" max="8728" width="5.81640625" style="117" customWidth="1"/>
    <col min="8729" max="8730" width="4.7265625" style="117" customWidth="1"/>
    <col min="8731" max="8738" width="3" style="117" customWidth="1"/>
    <col min="8739" max="8739" width="5.54296875" style="117" customWidth="1"/>
    <col min="8740" max="8963" width="3.7265625" style="117"/>
    <col min="8964" max="8964" width="4.81640625" style="117" customWidth="1"/>
    <col min="8965" max="8971" width="3" style="117" customWidth="1"/>
    <col min="8972" max="8972" width="5.26953125" style="117" customWidth="1"/>
    <col min="8973" max="8982" width="3" style="117" customWidth="1"/>
    <col min="8983" max="8983" width="4.54296875" style="117" customWidth="1"/>
    <col min="8984" max="8984" width="5.81640625" style="117" customWidth="1"/>
    <col min="8985" max="8986" width="4.7265625" style="117" customWidth="1"/>
    <col min="8987" max="8994" width="3" style="117" customWidth="1"/>
    <col min="8995" max="8995" width="5.54296875" style="117" customWidth="1"/>
    <col min="8996" max="9219" width="3.7265625" style="117"/>
    <col min="9220" max="9220" width="4.81640625" style="117" customWidth="1"/>
    <col min="9221" max="9227" width="3" style="117" customWidth="1"/>
    <col min="9228" max="9228" width="5.26953125" style="117" customWidth="1"/>
    <col min="9229" max="9238" width="3" style="117" customWidth="1"/>
    <col min="9239" max="9239" width="4.54296875" style="117" customWidth="1"/>
    <col min="9240" max="9240" width="5.81640625" style="117" customWidth="1"/>
    <col min="9241" max="9242" width="4.7265625" style="117" customWidth="1"/>
    <col min="9243" max="9250" width="3" style="117" customWidth="1"/>
    <col min="9251" max="9251" width="5.54296875" style="117" customWidth="1"/>
    <col min="9252" max="9475" width="3.7265625" style="117"/>
    <col min="9476" max="9476" width="4.81640625" style="117" customWidth="1"/>
    <col min="9477" max="9483" width="3" style="117" customWidth="1"/>
    <col min="9484" max="9484" width="5.26953125" style="117" customWidth="1"/>
    <col min="9485" max="9494" width="3" style="117" customWidth="1"/>
    <col min="9495" max="9495" width="4.54296875" style="117" customWidth="1"/>
    <col min="9496" max="9496" width="5.81640625" style="117" customWidth="1"/>
    <col min="9497" max="9498" width="4.7265625" style="117" customWidth="1"/>
    <col min="9499" max="9506" width="3" style="117" customWidth="1"/>
    <col min="9507" max="9507" width="5.54296875" style="117" customWidth="1"/>
    <col min="9508" max="9731" width="3.7265625" style="117"/>
    <col min="9732" max="9732" width="4.81640625" style="117" customWidth="1"/>
    <col min="9733" max="9739" width="3" style="117" customWidth="1"/>
    <col min="9740" max="9740" width="5.26953125" style="117" customWidth="1"/>
    <col min="9741" max="9750" width="3" style="117" customWidth="1"/>
    <col min="9751" max="9751" width="4.54296875" style="117" customWidth="1"/>
    <col min="9752" max="9752" width="5.81640625" style="117" customWidth="1"/>
    <col min="9753" max="9754" width="4.7265625" style="117" customWidth="1"/>
    <col min="9755" max="9762" width="3" style="117" customWidth="1"/>
    <col min="9763" max="9763" width="5.54296875" style="117" customWidth="1"/>
    <col min="9764" max="9987" width="3.7265625" style="117"/>
    <col min="9988" max="9988" width="4.81640625" style="117" customWidth="1"/>
    <col min="9989" max="9995" width="3" style="117" customWidth="1"/>
    <col min="9996" max="9996" width="5.26953125" style="117" customWidth="1"/>
    <col min="9997" max="10006" width="3" style="117" customWidth="1"/>
    <col min="10007" max="10007" width="4.54296875" style="117" customWidth="1"/>
    <col min="10008" max="10008" width="5.81640625" style="117" customWidth="1"/>
    <col min="10009" max="10010" width="4.7265625" style="117" customWidth="1"/>
    <col min="10011" max="10018" width="3" style="117" customWidth="1"/>
    <col min="10019" max="10019" width="5.54296875" style="117" customWidth="1"/>
    <col min="10020" max="10243" width="3.7265625" style="117"/>
    <col min="10244" max="10244" width="4.81640625" style="117" customWidth="1"/>
    <col min="10245" max="10251" width="3" style="117" customWidth="1"/>
    <col min="10252" max="10252" width="5.26953125" style="117" customWidth="1"/>
    <col min="10253" max="10262" width="3" style="117" customWidth="1"/>
    <col min="10263" max="10263" width="4.54296875" style="117" customWidth="1"/>
    <col min="10264" max="10264" width="5.81640625" style="117" customWidth="1"/>
    <col min="10265" max="10266" width="4.7265625" style="117" customWidth="1"/>
    <col min="10267" max="10274" width="3" style="117" customWidth="1"/>
    <col min="10275" max="10275" width="5.54296875" style="117" customWidth="1"/>
    <col min="10276" max="10499" width="3.7265625" style="117"/>
    <col min="10500" max="10500" width="4.81640625" style="117" customWidth="1"/>
    <col min="10501" max="10507" width="3" style="117" customWidth="1"/>
    <col min="10508" max="10508" width="5.26953125" style="117" customWidth="1"/>
    <col min="10509" max="10518" width="3" style="117" customWidth="1"/>
    <col min="10519" max="10519" width="4.54296875" style="117" customWidth="1"/>
    <col min="10520" max="10520" width="5.81640625" style="117" customWidth="1"/>
    <col min="10521" max="10522" width="4.7265625" style="117" customWidth="1"/>
    <col min="10523" max="10530" width="3" style="117" customWidth="1"/>
    <col min="10531" max="10531" width="5.54296875" style="117" customWidth="1"/>
    <col min="10532" max="10755" width="3.7265625" style="117"/>
    <col min="10756" max="10756" width="4.81640625" style="117" customWidth="1"/>
    <col min="10757" max="10763" width="3" style="117" customWidth="1"/>
    <col min="10764" max="10764" width="5.26953125" style="117" customWidth="1"/>
    <col min="10765" max="10774" width="3" style="117" customWidth="1"/>
    <col min="10775" max="10775" width="4.54296875" style="117" customWidth="1"/>
    <col min="10776" max="10776" width="5.81640625" style="117" customWidth="1"/>
    <col min="10777" max="10778" width="4.7265625" style="117" customWidth="1"/>
    <col min="10779" max="10786" width="3" style="117" customWidth="1"/>
    <col min="10787" max="10787" width="5.54296875" style="117" customWidth="1"/>
    <col min="10788" max="11011" width="3.7265625" style="117"/>
    <col min="11012" max="11012" width="4.81640625" style="117" customWidth="1"/>
    <col min="11013" max="11019" width="3" style="117" customWidth="1"/>
    <col min="11020" max="11020" width="5.26953125" style="117" customWidth="1"/>
    <col min="11021" max="11030" width="3" style="117" customWidth="1"/>
    <col min="11031" max="11031" width="4.54296875" style="117" customWidth="1"/>
    <col min="11032" max="11032" width="5.81640625" style="117" customWidth="1"/>
    <col min="11033" max="11034" width="4.7265625" style="117" customWidth="1"/>
    <col min="11035" max="11042" width="3" style="117" customWidth="1"/>
    <col min="11043" max="11043" width="5.54296875" style="117" customWidth="1"/>
    <col min="11044" max="11267" width="3.7265625" style="117"/>
    <col min="11268" max="11268" width="4.81640625" style="117" customWidth="1"/>
    <col min="11269" max="11275" width="3" style="117" customWidth="1"/>
    <col min="11276" max="11276" width="5.26953125" style="117" customWidth="1"/>
    <col min="11277" max="11286" width="3" style="117" customWidth="1"/>
    <col min="11287" max="11287" width="4.54296875" style="117" customWidth="1"/>
    <col min="11288" max="11288" width="5.81640625" style="117" customWidth="1"/>
    <col min="11289" max="11290" width="4.7265625" style="117" customWidth="1"/>
    <col min="11291" max="11298" width="3" style="117" customWidth="1"/>
    <col min="11299" max="11299" width="5.54296875" style="117" customWidth="1"/>
    <col min="11300" max="11523" width="3.7265625" style="117"/>
    <col min="11524" max="11524" width="4.81640625" style="117" customWidth="1"/>
    <col min="11525" max="11531" width="3" style="117" customWidth="1"/>
    <col min="11532" max="11532" width="5.26953125" style="117" customWidth="1"/>
    <col min="11533" max="11542" width="3" style="117" customWidth="1"/>
    <col min="11543" max="11543" width="4.54296875" style="117" customWidth="1"/>
    <col min="11544" max="11544" width="5.81640625" style="117" customWidth="1"/>
    <col min="11545" max="11546" width="4.7265625" style="117" customWidth="1"/>
    <col min="11547" max="11554" width="3" style="117" customWidth="1"/>
    <col min="11555" max="11555" width="5.54296875" style="117" customWidth="1"/>
    <col min="11556" max="11779" width="3.7265625" style="117"/>
    <col min="11780" max="11780" width="4.81640625" style="117" customWidth="1"/>
    <col min="11781" max="11787" width="3" style="117" customWidth="1"/>
    <col min="11788" max="11788" width="5.26953125" style="117" customWidth="1"/>
    <col min="11789" max="11798" width="3" style="117" customWidth="1"/>
    <col min="11799" max="11799" width="4.54296875" style="117" customWidth="1"/>
    <col min="11800" max="11800" width="5.81640625" style="117" customWidth="1"/>
    <col min="11801" max="11802" width="4.7265625" style="117" customWidth="1"/>
    <col min="11803" max="11810" width="3" style="117" customWidth="1"/>
    <col min="11811" max="11811" width="5.54296875" style="117" customWidth="1"/>
    <col min="11812" max="12035" width="3.7265625" style="117"/>
    <col min="12036" max="12036" width="4.81640625" style="117" customWidth="1"/>
    <col min="12037" max="12043" width="3" style="117" customWidth="1"/>
    <col min="12044" max="12044" width="5.26953125" style="117" customWidth="1"/>
    <col min="12045" max="12054" width="3" style="117" customWidth="1"/>
    <col min="12055" max="12055" width="4.54296875" style="117" customWidth="1"/>
    <col min="12056" max="12056" width="5.81640625" style="117" customWidth="1"/>
    <col min="12057" max="12058" width="4.7265625" style="117" customWidth="1"/>
    <col min="12059" max="12066" width="3" style="117" customWidth="1"/>
    <col min="12067" max="12067" width="5.54296875" style="117" customWidth="1"/>
    <col min="12068" max="12291" width="3.7265625" style="117"/>
    <col min="12292" max="12292" width="4.81640625" style="117" customWidth="1"/>
    <col min="12293" max="12299" width="3" style="117" customWidth="1"/>
    <col min="12300" max="12300" width="5.26953125" style="117" customWidth="1"/>
    <col min="12301" max="12310" width="3" style="117" customWidth="1"/>
    <col min="12311" max="12311" width="4.54296875" style="117" customWidth="1"/>
    <col min="12312" max="12312" width="5.81640625" style="117" customWidth="1"/>
    <col min="12313" max="12314" width="4.7265625" style="117" customWidth="1"/>
    <col min="12315" max="12322" width="3" style="117" customWidth="1"/>
    <col min="12323" max="12323" width="5.54296875" style="117" customWidth="1"/>
    <col min="12324" max="12547" width="3.7265625" style="117"/>
    <col min="12548" max="12548" width="4.81640625" style="117" customWidth="1"/>
    <col min="12549" max="12555" width="3" style="117" customWidth="1"/>
    <col min="12556" max="12556" width="5.26953125" style="117" customWidth="1"/>
    <col min="12557" max="12566" width="3" style="117" customWidth="1"/>
    <col min="12567" max="12567" width="4.54296875" style="117" customWidth="1"/>
    <col min="12568" max="12568" width="5.81640625" style="117" customWidth="1"/>
    <col min="12569" max="12570" width="4.7265625" style="117" customWidth="1"/>
    <col min="12571" max="12578" width="3" style="117" customWidth="1"/>
    <col min="12579" max="12579" width="5.54296875" style="117" customWidth="1"/>
    <col min="12580" max="12803" width="3.7265625" style="117"/>
    <col min="12804" max="12804" width="4.81640625" style="117" customWidth="1"/>
    <col min="12805" max="12811" width="3" style="117" customWidth="1"/>
    <col min="12812" max="12812" width="5.26953125" style="117" customWidth="1"/>
    <col min="12813" max="12822" width="3" style="117" customWidth="1"/>
    <col min="12823" max="12823" width="4.54296875" style="117" customWidth="1"/>
    <col min="12824" max="12824" width="5.81640625" style="117" customWidth="1"/>
    <col min="12825" max="12826" width="4.7265625" style="117" customWidth="1"/>
    <col min="12827" max="12834" width="3" style="117" customWidth="1"/>
    <col min="12835" max="12835" width="5.54296875" style="117" customWidth="1"/>
    <col min="12836" max="13059" width="3.7265625" style="117"/>
    <col min="13060" max="13060" width="4.81640625" style="117" customWidth="1"/>
    <col min="13061" max="13067" width="3" style="117" customWidth="1"/>
    <col min="13068" max="13068" width="5.26953125" style="117" customWidth="1"/>
    <col min="13069" max="13078" width="3" style="117" customWidth="1"/>
    <col min="13079" max="13079" width="4.54296875" style="117" customWidth="1"/>
    <col min="13080" max="13080" width="5.81640625" style="117" customWidth="1"/>
    <col min="13081" max="13082" width="4.7265625" style="117" customWidth="1"/>
    <col min="13083" max="13090" width="3" style="117" customWidth="1"/>
    <col min="13091" max="13091" width="5.54296875" style="117" customWidth="1"/>
    <col min="13092" max="13315" width="3.7265625" style="117"/>
    <col min="13316" max="13316" width="4.81640625" style="117" customWidth="1"/>
    <col min="13317" max="13323" width="3" style="117" customWidth="1"/>
    <col min="13324" max="13324" width="5.26953125" style="117" customWidth="1"/>
    <col min="13325" max="13334" width="3" style="117" customWidth="1"/>
    <col min="13335" max="13335" width="4.54296875" style="117" customWidth="1"/>
    <col min="13336" max="13336" width="5.81640625" style="117" customWidth="1"/>
    <col min="13337" max="13338" width="4.7265625" style="117" customWidth="1"/>
    <col min="13339" max="13346" width="3" style="117" customWidth="1"/>
    <col min="13347" max="13347" width="5.54296875" style="117" customWidth="1"/>
    <col min="13348" max="13571" width="3.7265625" style="117"/>
    <col min="13572" max="13572" width="4.81640625" style="117" customWidth="1"/>
    <col min="13573" max="13579" width="3" style="117" customWidth="1"/>
    <col min="13580" max="13580" width="5.26953125" style="117" customWidth="1"/>
    <col min="13581" max="13590" width="3" style="117" customWidth="1"/>
    <col min="13591" max="13591" width="4.54296875" style="117" customWidth="1"/>
    <col min="13592" max="13592" width="5.81640625" style="117" customWidth="1"/>
    <col min="13593" max="13594" width="4.7265625" style="117" customWidth="1"/>
    <col min="13595" max="13602" width="3" style="117" customWidth="1"/>
    <col min="13603" max="13603" width="5.54296875" style="117" customWidth="1"/>
    <col min="13604" max="13827" width="3.7265625" style="117"/>
    <col min="13828" max="13828" width="4.81640625" style="117" customWidth="1"/>
    <col min="13829" max="13835" width="3" style="117" customWidth="1"/>
    <col min="13836" max="13836" width="5.26953125" style="117" customWidth="1"/>
    <col min="13837" max="13846" width="3" style="117" customWidth="1"/>
    <col min="13847" max="13847" width="4.54296875" style="117" customWidth="1"/>
    <col min="13848" max="13848" width="5.81640625" style="117" customWidth="1"/>
    <col min="13849" max="13850" width="4.7265625" style="117" customWidth="1"/>
    <col min="13851" max="13858" width="3" style="117" customWidth="1"/>
    <col min="13859" max="13859" width="5.54296875" style="117" customWidth="1"/>
    <col min="13860" max="14083" width="3.7265625" style="117"/>
    <col min="14084" max="14084" width="4.81640625" style="117" customWidth="1"/>
    <col min="14085" max="14091" width="3" style="117" customWidth="1"/>
    <col min="14092" max="14092" width="5.26953125" style="117" customWidth="1"/>
    <col min="14093" max="14102" width="3" style="117" customWidth="1"/>
    <col min="14103" max="14103" width="4.54296875" style="117" customWidth="1"/>
    <col min="14104" max="14104" width="5.81640625" style="117" customWidth="1"/>
    <col min="14105" max="14106" width="4.7265625" style="117" customWidth="1"/>
    <col min="14107" max="14114" width="3" style="117" customWidth="1"/>
    <col min="14115" max="14115" width="5.54296875" style="117" customWidth="1"/>
    <col min="14116" max="14339" width="3.7265625" style="117"/>
    <col min="14340" max="14340" width="4.81640625" style="117" customWidth="1"/>
    <col min="14341" max="14347" width="3" style="117" customWidth="1"/>
    <col min="14348" max="14348" width="5.26953125" style="117" customWidth="1"/>
    <col min="14349" max="14358" width="3" style="117" customWidth="1"/>
    <col min="14359" max="14359" width="4.54296875" style="117" customWidth="1"/>
    <col min="14360" max="14360" width="5.81640625" style="117" customWidth="1"/>
    <col min="14361" max="14362" width="4.7265625" style="117" customWidth="1"/>
    <col min="14363" max="14370" width="3" style="117" customWidth="1"/>
    <col min="14371" max="14371" width="5.54296875" style="117" customWidth="1"/>
    <col min="14372" max="14595" width="3.7265625" style="117"/>
    <col min="14596" max="14596" width="4.81640625" style="117" customWidth="1"/>
    <col min="14597" max="14603" width="3" style="117" customWidth="1"/>
    <col min="14604" max="14604" width="5.26953125" style="117" customWidth="1"/>
    <col min="14605" max="14614" width="3" style="117" customWidth="1"/>
    <col min="14615" max="14615" width="4.54296875" style="117" customWidth="1"/>
    <col min="14616" max="14616" width="5.81640625" style="117" customWidth="1"/>
    <col min="14617" max="14618" width="4.7265625" style="117" customWidth="1"/>
    <col min="14619" max="14626" width="3" style="117" customWidth="1"/>
    <col min="14627" max="14627" width="5.54296875" style="117" customWidth="1"/>
    <col min="14628" max="14851" width="3.7265625" style="117"/>
    <col min="14852" max="14852" width="4.81640625" style="117" customWidth="1"/>
    <col min="14853" max="14859" width="3" style="117" customWidth="1"/>
    <col min="14860" max="14860" width="5.26953125" style="117" customWidth="1"/>
    <col min="14861" max="14870" width="3" style="117" customWidth="1"/>
    <col min="14871" max="14871" width="4.54296875" style="117" customWidth="1"/>
    <col min="14872" max="14872" width="5.81640625" style="117" customWidth="1"/>
    <col min="14873" max="14874" width="4.7265625" style="117" customWidth="1"/>
    <col min="14875" max="14882" width="3" style="117" customWidth="1"/>
    <col min="14883" max="14883" width="5.54296875" style="117" customWidth="1"/>
    <col min="14884" max="15107" width="3.7265625" style="117"/>
    <col min="15108" max="15108" width="4.81640625" style="117" customWidth="1"/>
    <col min="15109" max="15115" width="3" style="117" customWidth="1"/>
    <col min="15116" max="15116" width="5.26953125" style="117" customWidth="1"/>
    <col min="15117" max="15126" width="3" style="117" customWidth="1"/>
    <col min="15127" max="15127" width="4.54296875" style="117" customWidth="1"/>
    <col min="15128" max="15128" width="5.81640625" style="117" customWidth="1"/>
    <col min="15129" max="15130" width="4.7265625" style="117" customWidth="1"/>
    <col min="15131" max="15138" width="3" style="117" customWidth="1"/>
    <col min="15139" max="15139" width="5.54296875" style="117" customWidth="1"/>
    <col min="15140" max="15363" width="3.7265625" style="117"/>
    <col min="15364" max="15364" width="4.81640625" style="117" customWidth="1"/>
    <col min="15365" max="15371" width="3" style="117" customWidth="1"/>
    <col min="15372" max="15372" width="5.26953125" style="117" customWidth="1"/>
    <col min="15373" max="15382" width="3" style="117" customWidth="1"/>
    <col min="15383" max="15383" width="4.54296875" style="117" customWidth="1"/>
    <col min="15384" max="15384" width="5.81640625" style="117" customWidth="1"/>
    <col min="15385" max="15386" width="4.7265625" style="117" customWidth="1"/>
    <col min="15387" max="15394" width="3" style="117" customWidth="1"/>
    <col min="15395" max="15395" width="5.54296875" style="117" customWidth="1"/>
    <col min="15396" max="15619" width="3.7265625" style="117"/>
    <col min="15620" max="15620" width="4.81640625" style="117" customWidth="1"/>
    <col min="15621" max="15627" width="3" style="117" customWidth="1"/>
    <col min="15628" max="15628" width="5.26953125" style="117" customWidth="1"/>
    <col min="15629" max="15638" width="3" style="117" customWidth="1"/>
    <col min="15639" max="15639" width="4.54296875" style="117" customWidth="1"/>
    <col min="15640" max="15640" width="5.81640625" style="117" customWidth="1"/>
    <col min="15641" max="15642" width="4.7265625" style="117" customWidth="1"/>
    <col min="15643" max="15650" width="3" style="117" customWidth="1"/>
    <col min="15651" max="15651" width="5.54296875" style="117" customWidth="1"/>
    <col min="15652" max="15875" width="3.7265625" style="117"/>
    <col min="15876" max="15876" width="4.81640625" style="117" customWidth="1"/>
    <col min="15877" max="15883" width="3" style="117" customWidth="1"/>
    <col min="15884" max="15884" width="5.26953125" style="117" customWidth="1"/>
    <col min="15885" max="15894" width="3" style="117" customWidth="1"/>
    <col min="15895" max="15895" width="4.54296875" style="117" customWidth="1"/>
    <col min="15896" max="15896" width="5.81640625" style="117" customWidth="1"/>
    <col min="15897" max="15898" width="4.7265625" style="117" customWidth="1"/>
    <col min="15899" max="15906" width="3" style="117" customWidth="1"/>
    <col min="15907" max="15907" width="5.54296875" style="117" customWidth="1"/>
    <col min="15908" max="16131" width="3.7265625" style="117"/>
    <col min="16132" max="16132" width="4.81640625" style="117" customWidth="1"/>
    <col min="16133" max="16139" width="3" style="117" customWidth="1"/>
    <col min="16140" max="16140" width="5.26953125" style="117" customWidth="1"/>
    <col min="16141" max="16150" width="3" style="117" customWidth="1"/>
    <col min="16151" max="16151" width="4.54296875" style="117" customWidth="1"/>
    <col min="16152" max="16152" width="5.81640625" style="117" customWidth="1"/>
    <col min="16153" max="16154" width="4.7265625" style="117" customWidth="1"/>
    <col min="16155" max="16162" width="3" style="117" customWidth="1"/>
    <col min="16163" max="16163" width="5.54296875" style="117" customWidth="1"/>
    <col min="16164" max="16384" width="3.7265625" style="117"/>
  </cols>
  <sheetData>
    <row r="1" spans="1:35" s="21" customFormat="1" ht="18" customHeight="1" x14ac:dyDescent="0.35">
      <c r="A1" s="107"/>
      <c r="B1" s="108"/>
      <c r="C1" s="108"/>
      <c r="D1" s="108"/>
      <c r="E1" s="108"/>
      <c r="F1" s="108"/>
      <c r="G1" s="292" t="s">
        <v>244</v>
      </c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4"/>
      <c r="AB1" s="108" t="s">
        <v>245</v>
      </c>
      <c r="AC1" s="108"/>
      <c r="AD1" s="109" t="s">
        <v>246</v>
      </c>
      <c r="AE1" s="108"/>
      <c r="AF1" s="108"/>
      <c r="AG1" s="108"/>
      <c r="AH1" s="108"/>
      <c r="AI1" s="110"/>
    </row>
    <row r="2" spans="1:35" s="21" customFormat="1" ht="18" customHeight="1" x14ac:dyDescent="0.35">
      <c r="A2" s="111"/>
      <c r="G2" s="848" t="s">
        <v>372</v>
      </c>
      <c r="H2" s="849"/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50"/>
      <c r="AB2" s="21" t="s">
        <v>248</v>
      </c>
      <c r="AD2" s="112" t="s">
        <v>246</v>
      </c>
      <c r="AE2" s="113"/>
      <c r="AF2" s="113"/>
      <c r="AI2" s="114"/>
    </row>
    <row r="3" spans="1:35" s="21" customFormat="1" ht="18" customHeight="1" x14ac:dyDescent="0.35">
      <c r="A3" s="111"/>
      <c r="G3" s="298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300"/>
      <c r="AB3" s="21" t="s">
        <v>250</v>
      </c>
      <c r="AD3" s="112" t="s">
        <v>246</v>
      </c>
      <c r="AE3" s="113"/>
      <c r="AF3" s="113"/>
      <c r="AI3" s="114"/>
    </row>
    <row r="4" spans="1:35" s="21" customFormat="1" ht="18" customHeight="1" thickBot="1" x14ac:dyDescent="0.4">
      <c r="A4" s="205"/>
      <c r="B4" s="206"/>
      <c r="C4" s="206"/>
      <c r="D4" s="206"/>
      <c r="E4" s="206"/>
      <c r="F4" s="206"/>
      <c r="G4" s="851"/>
      <c r="H4" s="852"/>
      <c r="I4" s="852"/>
      <c r="J4" s="852"/>
      <c r="K4" s="852"/>
      <c r="L4" s="852"/>
      <c r="M4" s="852"/>
      <c r="N4" s="852"/>
      <c r="O4" s="852"/>
      <c r="P4" s="852"/>
      <c r="Q4" s="852"/>
      <c r="R4" s="852"/>
      <c r="S4" s="852"/>
      <c r="T4" s="852"/>
      <c r="U4" s="852"/>
      <c r="V4" s="852"/>
      <c r="W4" s="852"/>
      <c r="X4" s="852"/>
      <c r="Y4" s="852"/>
      <c r="Z4" s="852"/>
      <c r="AA4" s="853"/>
      <c r="AB4" s="207" t="s">
        <v>252</v>
      </c>
      <c r="AC4" s="207"/>
      <c r="AD4" s="208" t="s">
        <v>246</v>
      </c>
      <c r="AE4" s="207"/>
      <c r="AF4" s="854"/>
      <c r="AG4" s="854"/>
      <c r="AH4" s="207"/>
      <c r="AI4" s="209"/>
    </row>
    <row r="5" spans="1:35" s="116" customFormat="1" ht="20.149999999999999" customHeight="1" x14ac:dyDescent="0.2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</row>
    <row r="6" spans="1:35" ht="20.149999999999999" customHeight="1" x14ac:dyDescent="0.3">
      <c r="A6" s="210" t="s">
        <v>373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</row>
    <row r="7" spans="1:35" ht="13" x14ac:dyDescent="0.3">
      <c r="A7" s="210"/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</row>
    <row r="8" spans="1:35" ht="25.5" customHeight="1" x14ac:dyDescent="0.25">
      <c r="A8" s="211" t="s">
        <v>277</v>
      </c>
      <c r="B8" s="846" t="s">
        <v>374</v>
      </c>
      <c r="C8" s="846"/>
      <c r="D8" s="846"/>
      <c r="E8" s="846"/>
      <c r="F8" s="846"/>
      <c r="G8" s="846"/>
      <c r="H8" s="846"/>
      <c r="I8" s="846"/>
      <c r="J8" s="846"/>
      <c r="K8" s="846"/>
      <c r="L8" s="846"/>
      <c r="M8" s="846"/>
      <c r="N8" s="846"/>
      <c r="O8" s="846"/>
      <c r="P8" s="846"/>
      <c r="Q8" s="846"/>
      <c r="R8" s="846"/>
      <c r="S8" s="846"/>
      <c r="T8" s="846"/>
      <c r="U8" s="846"/>
      <c r="V8" s="846"/>
      <c r="W8" s="846"/>
      <c r="X8" s="846" t="s">
        <v>375</v>
      </c>
      <c r="Y8" s="846"/>
      <c r="Z8" s="846"/>
      <c r="AA8" s="846"/>
      <c r="AB8" s="846"/>
      <c r="AC8" s="846"/>
      <c r="AD8" s="846"/>
      <c r="AE8" s="846"/>
      <c r="AF8" s="846"/>
      <c r="AG8" s="846"/>
      <c r="AH8" s="846"/>
    </row>
    <row r="9" spans="1:35" x14ac:dyDescent="0.25">
      <c r="A9" s="846">
        <v>1</v>
      </c>
      <c r="B9" s="847"/>
      <c r="C9" s="847"/>
      <c r="D9" s="847"/>
      <c r="E9" s="847"/>
      <c r="F9" s="847"/>
      <c r="G9" s="847"/>
      <c r="H9" s="847"/>
      <c r="I9" s="847"/>
      <c r="J9" s="847"/>
      <c r="K9" s="847"/>
      <c r="L9" s="847"/>
      <c r="M9" s="847"/>
      <c r="N9" s="847"/>
      <c r="O9" s="847"/>
      <c r="P9" s="847"/>
      <c r="Q9" s="847"/>
      <c r="R9" s="847"/>
      <c r="S9" s="847"/>
      <c r="T9" s="847"/>
      <c r="U9" s="847"/>
      <c r="V9" s="847"/>
      <c r="W9" s="847"/>
      <c r="X9" s="847"/>
      <c r="Y9" s="847"/>
      <c r="Z9" s="847"/>
      <c r="AA9" s="847"/>
      <c r="AB9" s="847"/>
      <c r="AC9" s="847"/>
      <c r="AD9" s="847"/>
      <c r="AE9" s="847"/>
      <c r="AF9" s="847"/>
      <c r="AG9" s="847"/>
      <c r="AH9" s="847"/>
    </row>
    <row r="10" spans="1:35" x14ac:dyDescent="0.25">
      <c r="A10" s="846"/>
      <c r="B10" s="847"/>
      <c r="C10" s="847"/>
      <c r="D10" s="847"/>
      <c r="E10" s="847"/>
      <c r="F10" s="847"/>
      <c r="G10" s="847"/>
      <c r="H10" s="847"/>
      <c r="I10" s="847"/>
      <c r="J10" s="847"/>
      <c r="K10" s="847"/>
      <c r="L10" s="847"/>
      <c r="M10" s="847"/>
      <c r="N10" s="847"/>
      <c r="O10" s="847"/>
      <c r="P10" s="847"/>
      <c r="Q10" s="847"/>
      <c r="R10" s="847"/>
      <c r="S10" s="847"/>
      <c r="T10" s="847"/>
      <c r="U10" s="847"/>
      <c r="V10" s="847"/>
      <c r="W10" s="847"/>
      <c r="X10" s="847"/>
      <c r="Y10" s="847"/>
      <c r="Z10" s="847"/>
      <c r="AA10" s="847"/>
      <c r="AB10" s="847"/>
      <c r="AC10" s="847"/>
      <c r="AD10" s="847"/>
      <c r="AE10" s="847"/>
      <c r="AF10" s="847"/>
      <c r="AG10" s="847"/>
      <c r="AH10" s="847"/>
    </row>
    <row r="11" spans="1:35" x14ac:dyDescent="0.25">
      <c r="A11" s="846"/>
      <c r="B11" s="847"/>
      <c r="C11" s="847"/>
      <c r="D11" s="847"/>
      <c r="E11" s="847"/>
      <c r="F11" s="847"/>
      <c r="G11" s="847"/>
      <c r="H11" s="847"/>
      <c r="I11" s="847"/>
      <c r="J11" s="847"/>
      <c r="K11" s="847"/>
      <c r="L11" s="847"/>
      <c r="M11" s="847"/>
      <c r="N11" s="847"/>
      <c r="O11" s="847"/>
      <c r="P11" s="847"/>
      <c r="Q11" s="847"/>
      <c r="R11" s="847"/>
      <c r="S11" s="847"/>
      <c r="T11" s="847"/>
      <c r="U11" s="847"/>
      <c r="V11" s="847"/>
      <c r="W11" s="847"/>
      <c r="X11" s="847"/>
      <c r="Y11" s="847"/>
      <c r="Z11" s="847"/>
      <c r="AA11" s="847"/>
      <c r="AB11" s="847"/>
      <c r="AC11" s="847"/>
      <c r="AD11" s="847"/>
      <c r="AE11" s="847"/>
      <c r="AF11" s="847"/>
      <c r="AG11" s="847"/>
      <c r="AH11" s="847"/>
    </row>
    <row r="12" spans="1:35" x14ac:dyDescent="0.25">
      <c r="A12" s="846"/>
      <c r="B12" s="847"/>
      <c r="C12" s="847"/>
      <c r="D12" s="847"/>
      <c r="E12" s="847"/>
      <c r="F12" s="847"/>
      <c r="G12" s="847"/>
      <c r="H12" s="847"/>
      <c r="I12" s="847"/>
      <c r="J12" s="847"/>
      <c r="K12" s="847"/>
      <c r="L12" s="847"/>
      <c r="M12" s="847"/>
      <c r="N12" s="847"/>
      <c r="O12" s="847"/>
      <c r="P12" s="847"/>
      <c r="Q12" s="847"/>
      <c r="R12" s="847"/>
      <c r="S12" s="847"/>
      <c r="T12" s="847"/>
      <c r="U12" s="847"/>
      <c r="V12" s="847"/>
      <c r="W12" s="847"/>
      <c r="X12" s="847"/>
      <c r="Y12" s="847"/>
      <c r="Z12" s="847"/>
      <c r="AA12" s="847"/>
      <c r="AB12" s="847"/>
      <c r="AC12" s="847"/>
      <c r="AD12" s="847"/>
      <c r="AE12" s="847"/>
      <c r="AF12" s="847"/>
      <c r="AG12" s="847"/>
      <c r="AH12" s="847"/>
    </row>
    <row r="13" spans="1:35" x14ac:dyDescent="0.25">
      <c r="A13" s="846"/>
      <c r="B13" s="847"/>
      <c r="C13" s="847"/>
      <c r="D13" s="847"/>
      <c r="E13" s="847"/>
      <c r="F13" s="847"/>
      <c r="G13" s="847"/>
      <c r="H13" s="847"/>
      <c r="I13" s="847"/>
      <c r="J13" s="847"/>
      <c r="K13" s="847"/>
      <c r="L13" s="847"/>
      <c r="M13" s="847"/>
      <c r="N13" s="847"/>
      <c r="O13" s="847"/>
      <c r="P13" s="847"/>
      <c r="Q13" s="847"/>
      <c r="R13" s="847"/>
      <c r="S13" s="847"/>
      <c r="T13" s="847"/>
      <c r="U13" s="847"/>
      <c r="V13" s="847"/>
      <c r="W13" s="847"/>
      <c r="X13" s="847"/>
      <c r="Y13" s="847"/>
      <c r="Z13" s="847"/>
      <c r="AA13" s="847"/>
      <c r="AB13" s="847"/>
      <c r="AC13" s="847"/>
      <c r="AD13" s="847"/>
      <c r="AE13" s="847"/>
      <c r="AF13" s="847"/>
      <c r="AG13" s="847"/>
      <c r="AH13" s="847"/>
    </row>
    <row r="14" spans="1:35" x14ac:dyDescent="0.25">
      <c r="A14" s="846"/>
      <c r="B14" s="847"/>
      <c r="C14" s="847"/>
      <c r="D14" s="847"/>
      <c r="E14" s="847"/>
      <c r="F14" s="847"/>
      <c r="G14" s="847"/>
      <c r="H14" s="847"/>
      <c r="I14" s="847"/>
      <c r="J14" s="847"/>
      <c r="K14" s="847"/>
      <c r="L14" s="847"/>
      <c r="M14" s="847"/>
      <c r="N14" s="847"/>
      <c r="O14" s="847"/>
      <c r="P14" s="847"/>
      <c r="Q14" s="847"/>
      <c r="R14" s="847"/>
      <c r="S14" s="847"/>
      <c r="T14" s="847"/>
      <c r="U14" s="847"/>
      <c r="V14" s="847"/>
      <c r="W14" s="847"/>
      <c r="X14" s="847"/>
      <c r="Y14" s="847"/>
      <c r="Z14" s="847"/>
      <c r="AA14" s="847"/>
      <c r="AB14" s="847"/>
      <c r="AC14" s="847"/>
      <c r="AD14" s="847"/>
      <c r="AE14" s="847"/>
      <c r="AF14" s="847"/>
      <c r="AG14" s="847"/>
      <c r="AH14" s="847"/>
    </row>
    <row r="15" spans="1:35" x14ac:dyDescent="0.25">
      <c r="A15" s="846"/>
      <c r="B15" s="847"/>
      <c r="C15" s="847"/>
      <c r="D15" s="847"/>
      <c r="E15" s="847"/>
      <c r="F15" s="847"/>
      <c r="G15" s="847"/>
      <c r="H15" s="847"/>
      <c r="I15" s="847"/>
      <c r="J15" s="847"/>
      <c r="K15" s="847"/>
      <c r="L15" s="847"/>
      <c r="M15" s="847"/>
      <c r="N15" s="847"/>
      <c r="O15" s="847"/>
      <c r="P15" s="847"/>
      <c r="Q15" s="847"/>
      <c r="R15" s="847"/>
      <c r="S15" s="847"/>
      <c r="T15" s="847"/>
      <c r="U15" s="847"/>
      <c r="V15" s="847"/>
      <c r="W15" s="847"/>
      <c r="X15" s="847"/>
      <c r="Y15" s="847"/>
      <c r="Z15" s="847"/>
      <c r="AA15" s="847"/>
      <c r="AB15" s="847"/>
      <c r="AC15" s="847"/>
      <c r="AD15" s="847"/>
      <c r="AE15" s="847"/>
      <c r="AF15" s="847"/>
      <c r="AG15" s="847"/>
      <c r="AH15" s="847"/>
    </row>
    <row r="16" spans="1:35" ht="12.75" customHeight="1" x14ac:dyDescent="0.25">
      <c r="A16" s="846"/>
      <c r="B16" s="847"/>
      <c r="C16" s="847"/>
      <c r="D16" s="847"/>
      <c r="E16" s="847"/>
      <c r="F16" s="847"/>
      <c r="G16" s="847"/>
      <c r="H16" s="847"/>
      <c r="I16" s="847"/>
      <c r="J16" s="847"/>
      <c r="K16" s="847"/>
      <c r="L16" s="847"/>
      <c r="M16" s="847"/>
      <c r="N16" s="847"/>
      <c r="O16" s="847"/>
      <c r="P16" s="847"/>
      <c r="Q16" s="847"/>
      <c r="R16" s="847"/>
      <c r="S16" s="847"/>
      <c r="T16" s="847"/>
      <c r="U16" s="847"/>
      <c r="V16" s="847"/>
      <c r="W16" s="847"/>
      <c r="X16" s="847"/>
      <c r="Y16" s="847"/>
      <c r="Z16" s="847"/>
      <c r="AA16" s="847"/>
      <c r="AB16" s="847"/>
      <c r="AC16" s="847"/>
      <c r="AD16" s="847"/>
      <c r="AE16" s="847"/>
      <c r="AF16" s="847"/>
      <c r="AG16" s="847"/>
      <c r="AH16" s="847"/>
    </row>
    <row r="17" spans="1:34" x14ac:dyDescent="0.25">
      <c r="A17" s="846"/>
      <c r="B17" s="847"/>
      <c r="C17" s="847"/>
      <c r="D17" s="847"/>
      <c r="E17" s="847"/>
      <c r="F17" s="847"/>
      <c r="G17" s="847"/>
      <c r="H17" s="847"/>
      <c r="I17" s="847"/>
      <c r="J17" s="847"/>
      <c r="K17" s="847"/>
      <c r="L17" s="847"/>
      <c r="M17" s="847"/>
      <c r="N17" s="847"/>
      <c r="O17" s="847"/>
      <c r="P17" s="847"/>
      <c r="Q17" s="847"/>
      <c r="R17" s="847"/>
      <c r="S17" s="847"/>
      <c r="T17" s="847"/>
      <c r="U17" s="847"/>
      <c r="V17" s="847"/>
      <c r="W17" s="847"/>
      <c r="X17" s="847"/>
      <c r="Y17" s="847"/>
      <c r="Z17" s="847"/>
      <c r="AA17" s="847"/>
      <c r="AB17" s="847"/>
      <c r="AC17" s="847"/>
      <c r="AD17" s="847"/>
      <c r="AE17" s="847"/>
      <c r="AF17" s="847"/>
      <c r="AG17" s="847"/>
      <c r="AH17" s="847"/>
    </row>
    <row r="18" spans="1:34" x14ac:dyDescent="0.25">
      <c r="A18" s="846"/>
      <c r="B18" s="847"/>
      <c r="C18" s="847"/>
      <c r="D18" s="847"/>
      <c r="E18" s="847"/>
      <c r="F18" s="847"/>
      <c r="G18" s="847"/>
      <c r="H18" s="847"/>
      <c r="I18" s="847"/>
      <c r="J18" s="847"/>
      <c r="K18" s="847"/>
      <c r="L18" s="847"/>
      <c r="M18" s="847"/>
      <c r="N18" s="847"/>
      <c r="O18" s="847"/>
      <c r="P18" s="847"/>
      <c r="Q18" s="847"/>
      <c r="R18" s="847"/>
      <c r="S18" s="847"/>
      <c r="T18" s="847"/>
      <c r="U18" s="847"/>
      <c r="V18" s="847"/>
      <c r="W18" s="847"/>
      <c r="X18" s="847"/>
      <c r="Y18" s="847"/>
      <c r="Z18" s="847"/>
      <c r="AA18" s="847"/>
      <c r="AB18" s="847"/>
      <c r="AC18" s="847"/>
      <c r="AD18" s="847"/>
      <c r="AE18" s="847"/>
      <c r="AF18" s="847"/>
      <c r="AG18" s="847"/>
      <c r="AH18" s="847"/>
    </row>
    <row r="19" spans="1:34" x14ac:dyDescent="0.25">
      <c r="A19" s="846"/>
      <c r="B19" s="847"/>
      <c r="C19" s="847"/>
      <c r="D19" s="847"/>
      <c r="E19" s="847"/>
      <c r="F19" s="847"/>
      <c r="G19" s="847"/>
      <c r="H19" s="847"/>
      <c r="I19" s="847"/>
      <c r="J19" s="847"/>
      <c r="K19" s="847"/>
      <c r="L19" s="847"/>
      <c r="M19" s="847"/>
      <c r="N19" s="847"/>
      <c r="O19" s="847"/>
      <c r="P19" s="847"/>
      <c r="Q19" s="847"/>
      <c r="R19" s="847"/>
      <c r="S19" s="847"/>
      <c r="T19" s="847"/>
      <c r="U19" s="847"/>
      <c r="V19" s="847"/>
      <c r="W19" s="847"/>
      <c r="X19" s="847"/>
      <c r="Y19" s="847"/>
      <c r="Z19" s="847"/>
      <c r="AA19" s="847"/>
      <c r="AB19" s="847"/>
      <c r="AC19" s="847"/>
      <c r="AD19" s="847"/>
      <c r="AE19" s="847"/>
      <c r="AF19" s="847"/>
      <c r="AG19" s="847"/>
      <c r="AH19" s="847"/>
    </row>
    <row r="20" spans="1:34" x14ac:dyDescent="0.25">
      <c r="A20" s="846"/>
      <c r="B20" s="847"/>
      <c r="C20" s="847"/>
      <c r="D20" s="847"/>
      <c r="E20" s="847"/>
      <c r="F20" s="847"/>
      <c r="G20" s="847"/>
      <c r="H20" s="847"/>
      <c r="I20" s="847"/>
      <c r="J20" s="847"/>
      <c r="K20" s="847"/>
      <c r="L20" s="847"/>
      <c r="M20" s="847"/>
      <c r="N20" s="847"/>
      <c r="O20" s="847"/>
      <c r="P20" s="847"/>
      <c r="Q20" s="847"/>
      <c r="R20" s="847"/>
      <c r="S20" s="847"/>
      <c r="T20" s="847"/>
      <c r="U20" s="847"/>
      <c r="V20" s="847"/>
      <c r="W20" s="847"/>
      <c r="X20" s="847"/>
      <c r="Y20" s="847"/>
      <c r="Z20" s="847"/>
      <c r="AA20" s="847"/>
      <c r="AB20" s="847"/>
      <c r="AC20" s="847"/>
      <c r="AD20" s="847"/>
      <c r="AE20" s="847"/>
      <c r="AF20" s="847"/>
      <c r="AG20" s="847"/>
      <c r="AH20" s="847"/>
    </row>
    <row r="21" spans="1:34" x14ac:dyDescent="0.25">
      <c r="A21" s="846"/>
      <c r="B21" s="847"/>
      <c r="C21" s="847"/>
      <c r="D21" s="847"/>
      <c r="E21" s="847"/>
      <c r="F21" s="847"/>
      <c r="G21" s="847"/>
      <c r="H21" s="847"/>
      <c r="I21" s="847"/>
      <c r="J21" s="847"/>
      <c r="K21" s="847"/>
      <c r="L21" s="847"/>
      <c r="M21" s="847"/>
      <c r="N21" s="847"/>
      <c r="O21" s="847"/>
      <c r="P21" s="847"/>
      <c r="Q21" s="847"/>
      <c r="R21" s="847"/>
      <c r="S21" s="847"/>
      <c r="T21" s="847"/>
      <c r="U21" s="847"/>
      <c r="V21" s="847"/>
      <c r="W21" s="847"/>
      <c r="X21" s="847"/>
      <c r="Y21" s="847"/>
      <c r="Z21" s="847"/>
      <c r="AA21" s="847"/>
      <c r="AB21" s="847"/>
      <c r="AC21" s="847"/>
      <c r="AD21" s="847"/>
      <c r="AE21" s="847"/>
      <c r="AF21" s="847"/>
      <c r="AG21" s="847"/>
      <c r="AH21" s="847"/>
    </row>
    <row r="22" spans="1:34" x14ac:dyDescent="0.25">
      <c r="A22" s="846"/>
      <c r="B22" s="847"/>
      <c r="C22" s="847"/>
      <c r="D22" s="847"/>
      <c r="E22" s="847"/>
      <c r="F22" s="847"/>
      <c r="G22" s="847"/>
      <c r="H22" s="847"/>
      <c r="I22" s="847"/>
      <c r="J22" s="847"/>
      <c r="K22" s="847"/>
      <c r="L22" s="847"/>
      <c r="M22" s="847"/>
      <c r="N22" s="847"/>
      <c r="O22" s="847"/>
      <c r="P22" s="847"/>
      <c r="Q22" s="847"/>
      <c r="R22" s="847"/>
      <c r="S22" s="847"/>
      <c r="T22" s="847"/>
      <c r="U22" s="847"/>
      <c r="V22" s="847"/>
      <c r="W22" s="847"/>
      <c r="X22" s="847"/>
      <c r="Y22" s="847"/>
      <c r="Z22" s="847"/>
      <c r="AA22" s="847"/>
      <c r="AB22" s="847"/>
      <c r="AC22" s="847"/>
      <c r="AD22" s="847"/>
      <c r="AE22" s="847"/>
      <c r="AF22" s="847"/>
      <c r="AG22" s="847"/>
      <c r="AH22" s="847"/>
    </row>
    <row r="23" spans="1:34" x14ac:dyDescent="0.25">
      <c r="A23" s="846"/>
      <c r="B23" s="847"/>
      <c r="C23" s="847"/>
      <c r="D23" s="847"/>
      <c r="E23" s="847"/>
      <c r="F23" s="847"/>
      <c r="G23" s="847"/>
      <c r="H23" s="847"/>
      <c r="I23" s="847"/>
      <c r="J23" s="847"/>
      <c r="K23" s="847"/>
      <c r="L23" s="847"/>
      <c r="M23" s="847"/>
      <c r="N23" s="847"/>
      <c r="O23" s="847"/>
      <c r="P23" s="847"/>
      <c r="Q23" s="847"/>
      <c r="R23" s="847"/>
      <c r="S23" s="847"/>
      <c r="T23" s="847"/>
      <c r="U23" s="847"/>
      <c r="V23" s="847"/>
      <c r="W23" s="847"/>
      <c r="X23" s="847"/>
      <c r="Y23" s="847"/>
      <c r="Z23" s="847"/>
      <c r="AA23" s="847"/>
      <c r="AB23" s="847"/>
      <c r="AC23" s="847"/>
      <c r="AD23" s="847"/>
      <c r="AE23" s="847"/>
      <c r="AF23" s="847"/>
      <c r="AG23" s="847"/>
      <c r="AH23" s="847"/>
    </row>
    <row r="24" spans="1:34" x14ac:dyDescent="0.25">
      <c r="A24" s="846"/>
      <c r="B24" s="847"/>
      <c r="C24" s="847"/>
      <c r="D24" s="847"/>
      <c r="E24" s="847"/>
      <c r="F24" s="847"/>
      <c r="G24" s="847"/>
      <c r="H24" s="847"/>
      <c r="I24" s="847"/>
      <c r="J24" s="847"/>
      <c r="K24" s="847"/>
      <c r="L24" s="847"/>
      <c r="M24" s="847"/>
      <c r="N24" s="847"/>
      <c r="O24" s="847"/>
      <c r="P24" s="847"/>
      <c r="Q24" s="847"/>
      <c r="R24" s="847"/>
      <c r="S24" s="847"/>
      <c r="T24" s="847"/>
      <c r="U24" s="847"/>
      <c r="V24" s="847"/>
      <c r="W24" s="847"/>
      <c r="X24" s="847"/>
      <c r="Y24" s="847"/>
      <c r="Z24" s="847"/>
      <c r="AA24" s="847"/>
      <c r="AB24" s="847"/>
      <c r="AC24" s="847"/>
      <c r="AD24" s="847"/>
      <c r="AE24" s="847"/>
      <c r="AF24" s="847"/>
      <c r="AG24" s="847"/>
      <c r="AH24" s="847"/>
    </row>
    <row r="25" spans="1:34" x14ac:dyDescent="0.25">
      <c r="A25" s="846"/>
      <c r="B25" s="847"/>
      <c r="C25" s="847"/>
      <c r="D25" s="847"/>
      <c r="E25" s="847"/>
      <c r="F25" s="847"/>
      <c r="G25" s="847"/>
      <c r="H25" s="847"/>
      <c r="I25" s="847"/>
      <c r="J25" s="847"/>
      <c r="K25" s="847"/>
      <c r="L25" s="847"/>
      <c r="M25" s="847"/>
      <c r="N25" s="847"/>
      <c r="O25" s="847"/>
      <c r="P25" s="847"/>
      <c r="Q25" s="847"/>
      <c r="R25" s="847"/>
      <c r="S25" s="847"/>
      <c r="T25" s="847"/>
      <c r="U25" s="847"/>
      <c r="V25" s="847"/>
      <c r="W25" s="847"/>
      <c r="X25" s="847"/>
      <c r="Y25" s="847"/>
      <c r="Z25" s="847"/>
      <c r="AA25" s="847"/>
      <c r="AB25" s="847"/>
      <c r="AC25" s="847"/>
      <c r="AD25" s="847"/>
      <c r="AE25" s="847"/>
      <c r="AF25" s="847"/>
      <c r="AG25" s="847"/>
      <c r="AH25" s="847"/>
    </row>
    <row r="26" spans="1:34" x14ac:dyDescent="0.25">
      <c r="A26" s="846"/>
      <c r="B26" s="847"/>
      <c r="C26" s="847"/>
      <c r="D26" s="847"/>
      <c r="E26" s="847"/>
      <c r="F26" s="847"/>
      <c r="G26" s="847"/>
      <c r="H26" s="847"/>
      <c r="I26" s="847"/>
      <c r="J26" s="847"/>
      <c r="K26" s="847"/>
      <c r="L26" s="847"/>
      <c r="M26" s="847"/>
      <c r="N26" s="847"/>
      <c r="O26" s="847"/>
      <c r="P26" s="847"/>
      <c r="Q26" s="847"/>
      <c r="R26" s="847"/>
      <c r="S26" s="847"/>
      <c r="T26" s="847"/>
      <c r="U26" s="847"/>
      <c r="V26" s="847"/>
      <c r="W26" s="847"/>
      <c r="X26" s="847"/>
      <c r="Y26" s="847"/>
      <c r="Z26" s="847"/>
      <c r="AA26" s="847"/>
      <c r="AB26" s="847"/>
      <c r="AC26" s="847"/>
      <c r="AD26" s="847"/>
      <c r="AE26" s="847"/>
      <c r="AF26" s="847"/>
      <c r="AG26" s="847"/>
      <c r="AH26" s="847"/>
    </row>
    <row r="27" spans="1:34" x14ac:dyDescent="0.25">
      <c r="A27" s="846"/>
      <c r="B27" s="847"/>
      <c r="C27" s="847"/>
      <c r="D27" s="847"/>
      <c r="E27" s="847"/>
      <c r="F27" s="847"/>
      <c r="G27" s="847"/>
      <c r="H27" s="847"/>
      <c r="I27" s="847"/>
      <c r="J27" s="847"/>
      <c r="K27" s="847"/>
      <c r="L27" s="847"/>
      <c r="M27" s="847"/>
      <c r="N27" s="847"/>
      <c r="O27" s="847"/>
      <c r="P27" s="847"/>
      <c r="Q27" s="847"/>
      <c r="R27" s="847"/>
      <c r="S27" s="847"/>
      <c r="T27" s="847"/>
      <c r="U27" s="847"/>
      <c r="V27" s="847"/>
      <c r="W27" s="847"/>
      <c r="X27" s="847"/>
      <c r="Y27" s="847"/>
      <c r="Z27" s="847"/>
      <c r="AA27" s="847"/>
      <c r="AB27" s="847"/>
      <c r="AC27" s="847"/>
      <c r="AD27" s="847"/>
      <c r="AE27" s="847"/>
      <c r="AF27" s="847"/>
      <c r="AG27" s="847"/>
      <c r="AH27" s="847"/>
    </row>
    <row r="28" spans="1:34" x14ac:dyDescent="0.25">
      <c r="A28" s="846"/>
      <c r="B28" s="847"/>
      <c r="C28" s="847"/>
      <c r="D28" s="847"/>
      <c r="E28" s="847"/>
      <c r="F28" s="847"/>
      <c r="G28" s="847"/>
      <c r="H28" s="847"/>
      <c r="I28" s="847"/>
      <c r="J28" s="847"/>
      <c r="K28" s="847"/>
      <c r="L28" s="847"/>
      <c r="M28" s="847"/>
      <c r="N28" s="847"/>
      <c r="O28" s="847"/>
      <c r="P28" s="847"/>
      <c r="Q28" s="847"/>
      <c r="R28" s="847"/>
      <c r="S28" s="847"/>
      <c r="T28" s="847"/>
      <c r="U28" s="847"/>
      <c r="V28" s="847"/>
      <c r="W28" s="847"/>
      <c r="X28" s="847"/>
      <c r="Y28" s="847"/>
      <c r="Z28" s="847"/>
      <c r="AA28" s="847"/>
      <c r="AB28" s="847"/>
      <c r="AC28" s="847"/>
      <c r="AD28" s="847"/>
      <c r="AE28" s="847"/>
      <c r="AF28" s="847"/>
      <c r="AG28" s="847"/>
      <c r="AH28" s="847"/>
    </row>
    <row r="29" spans="1:34" x14ac:dyDescent="0.25">
      <c r="A29" s="846">
        <v>2</v>
      </c>
      <c r="B29" s="847"/>
      <c r="C29" s="847"/>
      <c r="D29" s="847"/>
      <c r="E29" s="847"/>
      <c r="F29" s="847"/>
      <c r="G29" s="847"/>
      <c r="H29" s="847"/>
      <c r="I29" s="847"/>
      <c r="J29" s="847"/>
      <c r="K29" s="847"/>
      <c r="L29" s="847"/>
      <c r="M29" s="847"/>
      <c r="N29" s="847"/>
      <c r="O29" s="847"/>
      <c r="P29" s="847"/>
      <c r="Q29" s="847"/>
      <c r="R29" s="847"/>
      <c r="S29" s="847"/>
      <c r="T29" s="847"/>
      <c r="U29" s="847"/>
      <c r="V29" s="847"/>
      <c r="W29" s="847"/>
      <c r="X29" s="847"/>
      <c r="Y29" s="847"/>
      <c r="Z29" s="847"/>
      <c r="AA29" s="847"/>
      <c r="AB29" s="847"/>
      <c r="AC29" s="847"/>
      <c r="AD29" s="847"/>
      <c r="AE29" s="847"/>
      <c r="AF29" s="847"/>
      <c r="AG29" s="847"/>
      <c r="AH29" s="847"/>
    </row>
    <row r="30" spans="1:34" x14ac:dyDescent="0.25">
      <c r="A30" s="846"/>
      <c r="B30" s="847"/>
      <c r="C30" s="847"/>
      <c r="D30" s="847"/>
      <c r="E30" s="847"/>
      <c r="F30" s="847"/>
      <c r="G30" s="847"/>
      <c r="H30" s="847"/>
      <c r="I30" s="847"/>
      <c r="J30" s="847"/>
      <c r="K30" s="847"/>
      <c r="L30" s="847"/>
      <c r="M30" s="847"/>
      <c r="N30" s="847"/>
      <c r="O30" s="847"/>
      <c r="P30" s="847"/>
      <c r="Q30" s="847"/>
      <c r="R30" s="847"/>
      <c r="S30" s="847"/>
      <c r="T30" s="847"/>
      <c r="U30" s="847"/>
      <c r="V30" s="847"/>
      <c r="W30" s="847"/>
      <c r="X30" s="847"/>
      <c r="Y30" s="847"/>
      <c r="Z30" s="847"/>
      <c r="AA30" s="847"/>
      <c r="AB30" s="847"/>
      <c r="AC30" s="847"/>
      <c r="AD30" s="847"/>
      <c r="AE30" s="847"/>
      <c r="AF30" s="847"/>
      <c r="AG30" s="847"/>
      <c r="AH30" s="847"/>
    </row>
    <row r="31" spans="1:34" x14ac:dyDescent="0.25">
      <c r="A31" s="846"/>
      <c r="B31" s="847"/>
      <c r="C31" s="847"/>
      <c r="D31" s="847"/>
      <c r="E31" s="847"/>
      <c r="F31" s="847"/>
      <c r="G31" s="847"/>
      <c r="H31" s="847"/>
      <c r="I31" s="847"/>
      <c r="J31" s="847"/>
      <c r="K31" s="847"/>
      <c r="L31" s="847"/>
      <c r="M31" s="847"/>
      <c r="N31" s="847"/>
      <c r="O31" s="847"/>
      <c r="P31" s="847"/>
      <c r="Q31" s="847"/>
      <c r="R31" s="847"/>
      <c r="S31" s="847"/>
      <c r="T31" s="847"/>
      <c r="U31" s="847"/>
      <c r="V31" s="847"/>
      <c r="W31" s="847"/>
      <c r="X31" s="847"/>
      <c r="Y31" s="847"/>
      <c r="Z31" s="847"/>
      <c r="AA31" s="847"/>
      <c r="AB31" s="847"/>
      <c r="AC31" s="847"/>
      <c r="AD31" s="847"/>
      <c r="AE31" s="847"/>
      <c r="AF31" s="847"/>
      <c r="AG31" s="847"/>
      <c r="AH31" s="847"/>
    </row>
    <row r="32" spans="1:34" x14ac:dyDescent="0.25">
      <c r="A32" s="846"/>
      <c r="B32" s="847"/>
      <c r="C32" s="847"/>
      <c r="D32" s="847"/>
      <c r="E32" s="847"/>
      <c r="F32" s="847"/>
      <c r="G32" s="847"/>
      <c r="H32" s="847"/>
      <c r="I32" s="847"/>
      <c r="J32" s="847"/>
      <c r="K32" s="847"/>
      <c r="L32" s="847"/>
      <c r="M32" s="847"/>
      <c r="N32" s="847"/>
      <c r="O32" s="847"/>
      <c r="P32" s="847"/>
      <c r="Q32" s="847"/>
      <c r="R32" s="847"/>
      <c r="S32" s="847"/>
      <c r="T32" s="847"/>
      <c r="U32" s="847"/>
      <c r="V32" s="847"/>
      <c r="W32" s="847"/>
      <c r="X32" s="847"/>
      <c r="Y32" s="847"/>
      <c r="Z32" s="847"/>
      <c r="AA32" s="847"/>
      <c r="AB32" s="847"/>
      <c r="AC32" s="847"/>
      <c r="AD32" s="847"/>
      <c r="AE32" s="847"/>
      <c r="AF32" s="847"/>
      <c r="AG32" s="847"/>
      <c r="AH32" s="847"/>
    </row>
    <row r="33" spans="1:34" x14ac:dyDescent="0.25">
      <c r="A33" s="846"/>
      <c r="B33" s="847"/>
      <c r="C33" s="847"/>
      <c r="D33" s="847"/>
      <c r="E33" s="847"/>
      <c r="F33" s="847"/>
      <c r="G33" s="847"/>
      <c r="H33" s="847"/>
      <c r="I33" s="847"/>
      <c r="J33" s="847"/>
      <c r="K33" s="847"/>
      <c r="L33" s="847"/>
      <c r="M33" s="847"/>
      <c r="N33" s="847"/>
      <c r="O33" s="847"/>
      <c r="P33" s="847"/>
      <c r="Q33" s="847"/>
      <c r="R33" s="847"/>
      <c r="S33" s="847"/>
      <c r="T33" s="847"/>
      <c r="U33" s="847"/>
      <c r="V33" s="847"/>
      <c r="W33" s="847"/>
      <c r="X33" s="847"/>
      <c r="Y33" s="847"/>
      <c r="Z33" s="847"/>
      <c r="AA33" s="847"/>
      <c r="AB33" s="847"/>
      <c r="AC33" s="847"/>
      <c r="AD33" s="847"/>
      <c r="AE33" s="847"/>
      <c r="AF33" s="847"/>
      <c r="AG33" s="847"/>
      <c r="AH33" s="847"/>
    </row>
    <row r="34" spans="1:34" x14ac:dyDescent="0.25">
      <c r="A34" s="846"/>
      <c r="B34" s="847"/>
      <c r="C34" s="847"/>
      <c r="D34" s="847"/>
      <c r="E34" s="847"/>
      <c r="F34" s="847"/>
      <c r="G34" s="847"/>
      <c r="H34" s="847"/>
      <c r="I34" s="847"/>
      <c r="J34" s="847"/>
      <c r="K34" s="847"/>
      <c r="L34" s="847"/>
      <c r="M34" s="847"/>
      <c r="N34" s="847"/>
      <c r="O34" s="847"/>
      <c r="P34" s="847"/>
      <c r="Q34" s="847"/>
      <c r="R34" s="847"/>
      <c r="S34" s="847"/>
      <c r="T34" s="847"/>
      <c r="U34" s="847"/>
      <c r="V34" s="847"/>
      <c r="W34" s="847"/>
      <c r="X34" s="847"/>
      <c r="Y34" s="847"/>
      <c r="Z34" s="847"/>
      <c r="AA34" s="847"/>
      <c r="AB34" s="847"/>
      <c r="AC34" s="847"/>
      <c r="AD34" s="847"/>
      <c r="AE34" s="847"/>
      <c r="AF34" s="847"/>
      <c r="AG34" s="847"/>
      <c r="AH34" s="847"/>
    </row>
    <row r="35" spans="1:34" x14ac:dyDescent="0.25">
      <c r="A35" s="846"/>
      <c r="B35" s="847"/>
      <c r="C35" s="847"/>
      <c r="D35" s="847"/>
      <c r="E35" s="847"/>
      <c r="F35" s="847"/>
      <c r="G35" s="847"/>
      <c r="H35" s="847"/>
      <c r="I35" s="847"/>
      <c r="J35" s="847"/>
      <c r="K35" s="847"/>
      <c r="L35" s="847"/>
      <c r="M35" s="847"/>
      <c r="N35" s="847"/>
      <c r="O35" s="847"/>
      <c r="P35" s="847"/>
      <c r="Q35" s="847"/>
      <c r="R35" s="847"/>
      <c r="S35" s="847"/>
      <c r="T35" s="847"/>
      <c r="U35" s="847"/>
      <c r="V35" s="847"/>
      <c r="W35" s="847"/>
      <c r="X35" s="847"/>
      <c r="Y35" s="847"/>
      <c r="Z35" s="847"/>
      <c r="AA35" s="847"/>
      <c r="AB35" s="847"/>
      <c r="AC35" s="847"/>
      <c r="AD35" s="847"/>
      <c r="AE35" s="847"/>
      <c r="AF35" s="847"/>
      <c r="AG35" s="847"/>
      <c r="AH35" s="847"/>
    </row>
    <row r="36" spans="1:34" x14ac:dyDescent="0.25">
      <c r="A36" s="846"/>
      <c r="B36" s="847"/>
      <c r="C36" s="847"/>
      <c r="D36" s="847"/>
      <c r="E36" s="847"/>
      <c r="F36" s="847"/>
      <c r="G36" s="847"/>
      <c r="H36" s="847"/>
      <c r="I36" s="847"/>
      <c r="J36" s="847"/>
      <c r="K36" s="847"/>
      <c r="L36" s="847"/>
      <c r="M36" s="847"/>
      <c r="N36" s="847"/>
      <c r="O36" s="847"/>
      <c r="P36" s="847"/>
      <c r="Q36" s="847"/>
      <c r="R36" s="847"/>
      <c r="S36" s="847"/>
      <c r="T36" s="847"/>
      <c r="U36" s="847"/>
      <c r="V36" s="847"/>
      <c r="W36" s="847"/>
      <c r="X36" s="847"/>
      <c r="Y36" s="847"/>
      <c r="Z36" s="847"/>
      <c r="AA36" s="847"/>
      <c r="AB36" s="847"/>
      <c r="AC36" s="847"/>
      <c r="AD36" s="847"/>
      <c r="AE36" s="847"/>
      <c r="AF36" s="847"/>
      <c r="AG36" s="847"/>
      <c r="AH36" s="847"/>
    </row>
    <row r="37" spans="1:34" x14ac:dyDescent="0.25">
      <c r="A37" s="846"/>
      <c r="B37" s="847"/>
      <c r="C37" s="847"/>
      <c r="D37" s="847"/>
      <c r="E37" s="847"/>
      <c r="F37" s="847"/>
      <c r="G37" s="847"/>
      <c r="H37" s="847"/>
      <c r="I37" s="847"/>
      <c r="J37" s="847"/>
      <c r="K37" s="847"/>
      <c r="L37" s="847"/>
      <c r="M37" s="847"/>
      <c r="N37" s="847"/>
      <c r="O37" s="847"/>
      <c r="P37" s="847"/>
      <c r="Q37" s="847"/>
      <c r="R37" s="847"/>
      <c r="S37" s="847"/>
      <c r="T37" s="847"/>
      <c r="U37" s="847"/>
      <c r="V37" s="847"/>
      <c r="W37" s="847"/>
      <c r="X37" s="847"/>
      <c r="Y37" s="847"/>
      <c r="Z37" s="847"/>
      <c r="AA37" s="847"/>
      <c r="AB37" s="847"/>
      <c r="AC37" s="847"/>
      <c r="AD37" s="847"/>
      <c r="AE37" s="847"/>
      <c r="AF37" s="847"/>
      <c r="AG37" s="847"/>
      <c r="AH37" s="847"/>
    </row>
    <row r="38" spans="1:34" x14ac:dyDescent="0.25">
      <c r="A38" s="846"/>
      <c r="B38" s="847"/>
      <c r="C38" s="847"/>
      <c r="D38" s="847"/>
      <c r="E38" s="847"/>
      <c r="F38" s="847"/>
      <c r="G38" s="847"/>
      <c r="H38" s="847"/>
      <c r="I38" s="847"/>
      <c r="J38" s="847"/>
      <c r="K38" s="847"/>
      <c r="L38" s="847"/>
      <c r="M38" s="847"/>
      <c r="N38" s="847"/>
      <c r="O38" s="847"/>
      <c r="P38" s="847"/>
      <c r="Q38" s="847"/>
      <c r="R38" s="847"/>
      <c r="S38" s="847"/>
      <c r="T38" s="847"/>
      <c r="U38" s="847"/>
      <c r="V38" s="847"/>
      <c r="W38" s="847"/>
      <c r="X38" s="847"/>
      <c r="Y38" s="847"/>
      <c r="Z38" s="847"/>
      <c r="AA38" s="847"/>
      <c r="AB38" s="847"/>
      <c r="AC38" s="847"/>
      <c r="AD38" s="847"/>
      <c r="AE38" s="847"/>
      <c r="AF38" s="847"/>
      <c r="AG38" s="847"/>
      <c r="AH38" s="847"/>
    </row>
    <row r="39" spans="1:34" x14ac:dyDescent="0.25">
      <c r="A39" s="846"/>
      <c r="B39" s="847"/>
      <c r="C39" s="847"/>
      <c r="D39" s="847"/>
      <c r="E39" s="847"/>
      <c r="F39" s="847"/>
      <c r="G39" s="847"/>
      <c r="H39" s="847"/>
      <c r="I39" s="847"/>
      <c r="J39" s="847"/>
      <c r="K39" s="847"/>
      <c r="L39" s="847"/>
      <c r="M39" s="847"/>
      <c r="N39" s="847"/>
      <c r="O39" s="847"/>
      <c r="P39" s="847"/>
      <c r="Q39" s="847"/>
      <c r="R39" s="847"/>
      <c r="S39" s="847"/>
      <c r="T39" s="847"/>
      <c r="U39" s="847"/>
      <c r="V39" s="847"/>
      <c r="W39" s="847"/>
      <c r="X39" s="847"/>
      <c r="Y39" s="847"/>
      <c r="Z39" s="847"/>
      <c r="AA39" s="847"/>
      <c r="AB39" s="847"/>
      <c r="AC39" s="847"/>
      <c r="AD39" s="847"/>
      <c r="AE39" s="847"/>
      <c r="AF39" s="847"/>
      <c r="AG39" s="847"/>
      <c r="AH39" s="847"/>
    </row>
    <row r="40" spans="1:34" x14ac:dyDescent="0.25">
      <c r="A40" s="846"/>
      <c r="B40" s="847"/>
      <c r="C40" s="847"/>
      <c r="D40" s="847"/>
      <c r="E40" s="847"/>
      <c r="F40" s="847"/>
      <c r="G40" s="847"/>
      <c r="H40" s="847"/>
      <c r="I40" s="847"/>
      <c r="J40" s="847"/>
      <c r="K40" s="847"/>
      <c r="L40" s="847"/>
      <c r="M40" s="847"/>
      <c r="N40" s="847"/>
      <c r="O40" s="847"/>
      <c r="P40" s="847"/>
      <c r="Q40" s="847"/>
      <c r="R40" s="847"/>
      <c r="S40" s="847"/>
      <c r="T40" s="847"/>
      <c r="U40" s="847"/>
      <c r="V40" s="847"/>
      <c r="W40" s="847"/>
      <c r="X40" s="847"/>
      <c r="Y40" s="847"/>
      <c r="Z40" s="847"/>
      <c r="AA40" s="847"/>
      <c r="AB40" s="847"/>
      <c r="AC40" s="847"/>
      <c r="AD40" s="847"/>
      <c r="AE40" s="847"/>
      <c r="AF40" s="847"/>
      <c r="AG40" s="847"/>
      <c r="AH40" s="847"/>
    </row>
    <row r="41" spans="1:34" x14ac:dyDescent="0.25">
      <c r="A41" s="846"/>
      <c r="B41" s="847"/>
      <c r="C41" s="847"/>
      <c r="D41" s="847"/>
      <c r="E41" s="847"/>
      <c r="F41" s="847"/>
      <c r="G41" s="847"/>
      <c r="H41" s="847"/>
      <c r="I41" s="847"/>
      <c r="J41" s="847"/>
      <c r="K41" s="847"/>
      <c r="L41" s="847"/>
      <c r="M41" s="847"/>
      <c r="N41" s="847"/>
      <c r="O41" s="847"/>
      <c r="P41" s="847"/>
      <c r="Q41" s="847"/>
      <c r="R41" s="847"/>
      <c r="S41" s="847"/>
      <c r="T41" s="847"/>
      <c r="U41" s="847"/>
      <c r="V41" s="847"/>
      <c r="W41" s="847"/>
      <c r="X41" s="847"/>
      <c r="Y41" s="847"/>
      <c r="Z41" s="847"/>
      <c r="AA41" s="847"/>
      <c r="AB41" s="847"/>
      <c r="AC41" s="847"/>
      <c r="AD41" s="847"/>
      <c r="AE41" s="847"/>
      <c r="AF41" s="847"/>
      <c r="AG41" s="847"/>
      <c r="AH41" s="847"/>
    </row>
    <row r="42" spans="1:34" x14ac:dyDescent="0.25">
      <c r="A42" s="846"/>
      <c r="B42" s="847"/>
      <c r="C42" s="847"/>
      <c r="D42" s="847"/>
      <c r="E42" s="847"/>
      <c r="F42" s="847"/>
      <c r="G42" s="847"/>
      <c r="H42" s="847"/>
      <c r="I42" s="847"/>
      <c r="J42" s="847"/>
      <c r="K42" s="847"/>
      <c r="L42" s="847"/>
      <c r="M42" s="847"/>
      <c r="N42" s="847"/>
      <c r="O42" s="847"/>
      <c r="P42" s="847"/>
      <c r="Q42" s="847"/>
      <c r="R42" s="847"/>
      <c r="S42" s="847"/>
      <c r="T42" s="847"/>
      <c r="U42" s="847"/>
      <c r="V42" s="847"/>
      <c r="W42" s="847"/>
      <c r="X42" s="847"/>
      <c r="Y42" s="847"/>
      <c r="Z42" s="847"/>
      <c r="AA42" s="847"/>
      <c r="AB42" s="847"/>
      <c r="AC42" s="847"/>
      <c r="AD42" s="847"/>
      <c r="AE42" s="847"/>
      <c r="AF42" s="847"/>
      <c r="AG42" s="847"/>
      <c r="AH42" s="847"/>
    </row>
    <row r="43" spans="1:34" x14ac:dyDescent="0.25">
      <c r="A43" s="846"/>
      <c r="B43" s="847"/>
      <c r="C43" s="847"/>
      <c r="D43" s="847"/>
      <c r="E43" s="847"/>
      <c r="F43" s="847"/>
      <c r="G43" s="847"/>
      <c r="H43" s="847"/>
      <c r="I43" s="847"/>
      <c r="J43" s="847"/>
      <c r="K43" s="847"/>
      <c r="L43" s="847"/>
      <c r="M43" s="847"/>
      <c r="N43" s="847"/>
      <c r="O43" s="847"/>
      <c r="P43" s="847"/>
      <c r="Q43" s="847"/>
      <c r="R43" s="847"/>
      <c r="S43" s="847"/>
      <c r="T43" s="847"/>
      <c r="U43" s="847"/>
      <c r="V43" s="847"/>
      <c r="W43" s="847"/>
      <c r="X43" s="847"/>
      <c r="Y43" s="847"/>
      <c r="Z43" s="847"/>
      <c r="AA43" s="847"/>
      <c r="AB43" s="847"/>
      <c r="AC43" s="847"/>
      <c r="AD43" s="847"/>
      <c r="AE43" s="847"/>
      <c r="AF43" s="847"/>
      <c r="AG43" s="847"/>
      <c r="AH43" s="847"/>
    </row>
    <row r="44" spans="1:34" x14ac:dyDescent="0.25">
      <c r="A44" s="846"/>
      <c r="B44" s="847"/>
      <c r="C44" s="847"/>
      <c r="D44" s="847"/>
      <c r="E44" s="847"/>
      <c r="F44" s="847"/>
      <c r="G44" s="847"/>
      <c r="H44" s="847"/>
      <c r="I44" s="847"/>
      <c r="J44" s="847"/>
      <c r="K44" s="847"/>
      <c r="L44" s="847"/>
      <c r="M44" s="847"/>
      <c r="N44" s="847"/>
      <c r="O44" s="847"/>
      <c r="P44" s="847"/>
      <c r="Q44" s="847"/>
      <c r="R44" s="847"/>
      <c r="S44" s="847"/>
      <c r="T44" s="847"/>
      <c r="U44" s="847"/>
      <c r="V44" s="847"/>
      <c r="W44" s="847"/>
      <c r="X44" s="847"/>
      <c r="Y44" s="847"/>
      <c r="Z44" s="847"/>
      <c r="AA44" s="847"/>
      <c r="AB44" s="847"/>
      <c r="AC44" s="847"/>
      <c r="AD44" s="847"/>
      <c r="AE44" s="847"/>
      <c r="AF44" s="847"/>
      <c r="AG44" s="847"/>
      <c r="AH44" s="847"/>
    </row>
    <row r="45" spans="1:34" x14ac:dyDescent="0.25">
      <c r="A45" s="846"/>
      <c r="B45" s="847"/>
      <c r="C45" s="847"/>
      <c r="D45" s="847"/>
      <c r="E45" s="847"/>
      <c r="F45" s="847"/>
      <c r="G45" s="847"/>
      <c r="H45" s="847"/>
      <c r="I45" s="847"/>
      <c r="J45" s="847"/>
      <c r="K45" s="847"/>
      <c r="L45" s="847"/>
      <c r="M45" s="847"/>
      <c r="N45" s="847"/>
      <c r="O45" s="847"/>
      <c r="P45" s="847"/>
      <c r="Q45" s="847"/>
      <c r="R45" s="847"/>
      <c r="S45" s="847"/>
      <c r="T45" s="847"/>
      <c r="U45" s="847"/>
      <c r="V45" s="847"/>
      <c r="W45" s="847"/>
      <c r="X45" s="847"/>
      <c r="Y45" s="847"/>
      <c r="Z45" s="847"/>
      <c r="AA45" s="847"/>
      <c r="AB45" s="847"/>
      <c r="AC45" s="847"/>
      <c r="AD45" s="847"/>
      <c r="AE45" s="847"/>
      <c r="AF45" s="847"/>
      <c r="AG45" s="847"/>
      <c r="AH45" s="847"/>
    </row>
    <row r="46" spans="1:34" x14ac:dyDescent="0.25">
      <c r="A46" s="846"/>
      <c r="B46" s="847"/>
      <c r="C46" s="847"/>
      <c r="D46" s="847"/>
      <c r="E46" s="847"/>
      <c r="F46" s="847"/>
      <c r="G46" s="847"/>
      <c r="H46" s="847"/>
      <c r="I46" s="847"/>
      <c r="J46" s="847"/>
      <c r="K46" s="847"/>
      <c r="L46" s="847"/>
      <c r="M46" s="847"/>
      <c r="N46" s="847"/>
      <c r="O46" s="847"/>
      <c r="P46" s="847"/>
      <c r="Q46" s="847"/>
      <c r="R46" s="847"/>
      <c r="S46" s="847"/>
      <c r="T46" s="847"/>
      <c r="U46" s="847"/>
      <c r="V46" s="847"/>
      <c r="W46" s="847"/>
      <c r="X46" s="847"/>
      <c r="Y46" s="847"/>
      <c r="Z46" s="847"/>
      <c r="AA46" s="847"/>
      <c r="AB46" s="847"/>
      <c r="AC46" s="847"/>
      <c r="AD46" s="847"/>
      <c r="AE46" s="847"/>
      <c r="AF46" s="847"/>
      <c r="AG46" s="847"/>
      <c r="AH46" s="847"/>
    </row>
    <row r="47" spans="1:34" x14ac:dyDescent="0.25">
      <c r="A47" s="846"/>
      <c r="B47" s="847"/>
      <c r="C47" s="847"/>
      <c r="D47" s="847"/>
      <c r="E47" s="847"/>
      <c r="F47" s="847"/>
      <c r="G47" s="847"/>
      <c r="H47" s="847"/>
      <c r="I47" s="847"/>
      <c r="J47" s="847"/>
      <c r="K47" s="847"/>
      <c r="L47" s="847"/>
      <c r="M47" s="847"/>
      <c r="N47" s="847"/>
      <c r="O47" s="847"/>
      <c r="P47" s="847"/>
      <c r="Q47" s="847"/>
      <c r="R47" s="847"/>
      <c r="S47" s="847"/>
      <c r="T47" s="847"/>
      <c r="U47" s="847"/>
      <c r="V47" s="847"/>
      <c r="W47" s="847"/>
      <c r="X47" s="847"/>
      <c r="Y47" s="847"/>
      <c r="Z47" s="847"/>
      <c r="AA47" s="847"/>
      <c r="AB47" s="847"/>
      <c r="AC47" s="847"/>
      <c r="AD47" s="847"/>
      <c r="AE47" s="847"/>
      <c r="AF47" s="847"/>
      <c r="AG47" s="847"/>
      <c r="AH47" s="847"/>
    </row>
    <row r="48" spans="1:34" x14ac:dyDescent="0.25">
      <c r="A48" s="846"/>
      <c r="B48" s="847"/>
      <c r="C48" s="847"/>
      <c r="D48" s="847"/>
      <c r="E48" s="847"/>
      <c r="F48" s="847"/>
      <c r="G48" s="847"/>
      <c r="H48" s="847"/>
      <c r="I48" s="847"/>
      <c r="J48" s="847"/>
      <c r="K48" s="847"/>
      <c r="L48" s="847"/>
      <c r="M48" s="847"/>
      <c r="N48" s="847"/>
      <c r="O48" s="847"/>
      <c r="P48" s="847"/>
      <c r="Q48" s="847"/>
      <c r="R48" s="847"/>
      <c r="S48" s="847"/>
      <c r="T48" s="847"/>
      <c r="U48" s="847"/>
      <c r="V48" s="847"/>
      <c r="W48" s="847"/>
      <c r="X48" s="847"/>
      <c r="Y48" s="847"/>
      <c r="Z48" s="847"/>
      <c r="AA48" s="847"/>
      <c r="AB48" s="847"/>
      <c r="AC48" s="847"/>
      <c r="AD48" s="847"/>
      <c r="AE48" s="847"/>
      <c r="AF48" s="847"/>
      <c r="AG48" s="847"/>
      <c r="AH48" s="847"/>
    </row>
    <row r="49" spans="1:34" x14ac:dyDescent="0.25">
      <c r="A49" s="855">
        <v>3</v>
      </c>
      <c r="B49" s="858"/>
      <c r="C49" s="858"/>
      <c r="D49" s="858"/>
      <c r="E49" s="858"/>
      <c r="F49" s="858"/>
      <c r="G49" s="858"/>
      <c r="H49" s="858"/>
      <c r="I49" s="858"/>
      <c r="J49" s="858"/>
      <c r="K49" s="858"/>
      <c r="L49" s="858"/>
      <c r="M49" s="858"/>
      <c r="N49" s="858"/>
      <c r="O49" s="858"/>
      <c r="P49" s="858"/>
      <c r="Q49" s="858"/>
      <c r="R49" s="858"/>
      <c r="S49" s="858"/>
      <c r="T49" s="858"/>
      <c r="U49" s="858"/>
      <c r="V49" s="858"/>
      <c r="W49" s="858"/>
      <c r="X49" s="858"/>
      <c r="Y49" s="858"/>
      <c r="Z49" s="858"/>
      <c r="AA49" s="858"/>
      <c r="AB49" s="858"/>
      <c r="AC49" s="858"/>
      <c r="AD49" s="858"/>
      <c r="AE49" s="858"/>
      <c r="AF49" s="858"/>
      <c r="AG49" s="858"/>
      <c r="AH49" s="858"/>
    </row>
    <row r="50" spans="1:34" x14ac:dyDescent="0.25">
      <c r="A50" s="856"/>
      <c r="B50" s="859"/>
      <c r="C50" s="859"/>
      <c r="D50" s="859"/>
      <c r="E50" s="859"/>
      <c r="F50" s="859"/>
      <c r="G50" s="859"/>
      <c r="H50" s="859"/>
      <c r="I50" s="859"/>
      <c r="J50" s="859"/>
      <c r="K50" s="859"/>
      <c r="L50" s="859"/>
      <c r="M50" s="859"/>
      <c r="N50" s="859"/>
      <c r="O50" s="859"/>
      <c r="P50" s="859"/>
      <c r="Q50" s="859"/>
      <c r="R50" s="859"/>
      <c r="S50" s="859"/>
      <c r="T50" s="859"/>
      <c r="U50" s="859"/>
      <c r="V50" s="859"/>
      <c r="W50" s="859"/>
      <c r="X50" s="859"/>
      <c r="Y50" s="859"/>
      <c r="Z50" s="859"/>
      <c r="AA50" s="859"/>
      <c r="AB50" s="859"/>
      <c r="AC50" s="859"/>
      <c r="AD50" s="859"/>
      <c r="AE50" s="859"/>
      <c r="AF50" s="859"/>
      <c r="AG50" s="859"/>
      <c r="AH50" s="859"/>
    </row>
    <row r="51" spans="1:34" x14ac:dyDescent="0.25">
      <c r="A51" s="856"/>
      <c r="B51" s="859"/>
      <c r="C51" s="859"/>
      <c r="D51" s="859"/>
      <c r="E51" s="859"/>
      <c r="F51" s="859"/>
      <c r="G51" s="859"/>
      <c r="H51" s="859"/>
      <c r="I51" s="859"/>
      <c r="J51" s="859"/>
      <c r="K51" s="859"/>
      <c r="L51" s="859"/>
      <c r="M51" s="859"/>
      <c r="N51" s="859"/>
      <c r="O51" s="859"/>
      <c r="P51" s="859"/>
      <c r="Q51" s="859"/>
      <c r="R51" s="859"/>
      <c r="S51" s="859"/>
      <c r="T51" s="859"/>
      <c r="U51" s="859"/>
      <c r="V51" s="859"/>
      <c r="W51" s="859"/>
      <c r="X51" s="859"/>
      <c r="Y51" s="859"/>
      <c r="Z51" s="859"/>
      <c r="AA51" s="859"/>
      <c r="AB51" s="859"/>
      <c r="AC51" s="859"/>
      <c r="AD51" s="859"/>
      <c r="AE51" s="859"/>
      <c r="AF51" s="859"/>
      <c r="AG51" s="859"/>
      <c r="AH51" s="859"/>
    </row>
    <row r="52" spans="1:34" x14ac:dyDescent="0.25">
      <c r="A52" s="856"/>
      <c r="B52" s="859"/>
      <c r="C52" s="859"/>
      <c r="D52" s="859"/>
      <c r="E52" s="859"/>
      <c r="F52" s="859"/>
      <c r="G52" s="859"/>
      <c r="H52" s="859"/>
      <c r="I52" s="859"/>
      <c r="J52" s="859"/>
      <c r="K52" s="859"/>
      <c r="L52" s="859"/>
      <c r="M52" s="859"/>
      <c r="N52" s="859"/>
      <c r="O52" s="859"/>
      <c r="P52" s="859"/>
      <c r="Q52" s="859"/>
      <c r="R52" s="859"/>
      <c r="S52" s="859"/>
      <c r="T52" s="859"/>
      <c r="U52" s="859"/>
      <c r="V52" s="859"/>
      <c r="W52" s="859"/>
      <c r="X52" s="859"/>
      <c r="Y52" s="859"/>
      <c r="Z52" s="859"/>
      <c r="AA52" s="859"/>
      <c r="AB52" s="859"/>
      <c r="AC52" s="859"/>
      <c r="AD52" s="859"/>
      <c r="AE52" s="859"/>
      <c r="AF52" s="859"/>
      <c r="AG52" s="859"/>
      <c r="AH52" s="859"/>
    </row>
    <row r="53" spans="1:34" x14ac:dyDescent="0.25">
      <c r="A53" s="856"/>
      <c r="B53" s="859"/>
      <c r="C53" s="859"/>
      <c r="D53" s="859"/>
      <c r="E53" s="859"/>
      <c r="F53" s="859"/>
      <c r="G53" s="859"/>
      <c r="H53" s="859"/>
      <c r="I53" s="859"/>
      <c r="J53" s="859"/>
      <c r="K53" s="859"/>
      <c r="L53" s="859"/>
      <c r="M53" s="859"/>
      <c r="N53" s="859"/>
      <c r="O53" s="859"/>
      <c r="P53" s="859"/>
      <c r="Q53" s="859"/>
      <c r="R53" s="859"/>
      <c r="S53" s="859"/>
      <c r="T53" s="859"/>
      <c r="U53" s="859"/>
      <c r="V53" s="859"/>
      <c r="W53" s="859"/>
      <c r="X53" s="859"/>
      <c r="Y53" s="859"/>
      <c r="Z53" s="859"/>
      <c r="AA53" s="859"/>
      <c r="AB53" s="859"/>
      <c r="AC53" s="859"/>
      <c r="AD53" s="859"/>
      <c r="AE53" s="859"/>
      <c r="AF53" s="859"/>
      <c r="AG53" s="859"/>
      <c r="AH53" s="859"/>
    </row>
    <row r="54" spans="1:34" x14ac:dyDescent="0.25">
      <c r="A54" s="856"/>
      <c r="B54" s="859"/>
      <c r="C54" s="859"/>
      <c r="D54" s="859"/>
      <c r="E54" s="859"/>
      <c r="F54" s="859"/>
      <c r="G54" s="859"/>
      <c r="H54" s="859"/>
      <c r="I54" s="859"/>
      <c r="J54" s="859"/>
      <c r="K54" s="859"/>
      <c r="L54" s="859"/>
      <c r="M54" s="859"/>
      <c r="N54" s="859"/>
      <c r="O54" s="859"/>
      <c r="P54" s="859"/>
      <c r="Q54" s="859"/>
      <c r="R54" s="859"/>
      <c r="S54" s="859"/>
      <c r="T54" s="859"/>
      <c r="U54" s="859"/>
      <c r="V54" s="859"/>
      <c r="W54" s="859"/>
      <c r="X54" s="859"/>
      <c r="Y54" s="859"/>
      <c r="Z54" s="859"/>
      <c r="AA54" s="859"/>
      <c r="AB54" s="859"/>
      <c r="AC54" s="859"/>
      <c r="AD54" s="859"/>
      <c r="AE54" s="859"/>
      <c r="AF54" s="859"/>
      <c r="AG54" s="859"/>
      <c r="AH54" s="859"/>
    </row>
    <row r="55" spans="1:34" x14ac:dyDescent="0.25">
      <c r="A55" s="856"/>
      <c r="B55" s="859"/>
      <c r="C55" s="859"/>
      <c r="D55" s="859"/>
      <c r="E55" s="859"/>
      <c r="F55" s="859"/>
      <c r="G55" s="859"/>
      <c r="H55" s="859"/>
      <c r="I55" s="859"/>
      <c r="J55" s="859"/>
      <c r="K55" s="859"/>
      <c r="L55" s="859"/>
      <c r="M55" s="859"/>
      <c r="N55" s="859"/>
      <c r="O55" s="859"/>
      <c r="P55" s="859"/>
      <c r="Q55" s="859"/>
      <c r="R55" s="859"/>
      <c r="S55" s="859"/>
      <c r="T55" s="859"/>
      <c r="U55" s="859"/>
      <c r="V55" s="859"/>
      <c r="W55" s="859"/>
      <c r="X55" s="859"/>
      <c r="Y55" s="859"/>
      <c r="Z55" s="859"/>
      <c r="AA55" s="859"/>
      <c r="AB55" s="859"/>
      <c r="AC55" s="859"/>
      <c r="AD55" s="859"/>
      <c r="AE55" s="859"/>
      <c r="AF55" s="859"/>
      <c r="AG55" s="859"/>
      <c r="AH55" s="859"/>
    </row>
    <row r="56" spans="1:34" x14ac:dyDescent="0.25">
      <c r="A56" s="856"/>
      <c r="B56" s="859"/>
      <c r="C56" s="859"/>
      <c r="D56" s="859"/>
      <c r="E56" s="859"/>
      <c r="F56" s="859"/>
      <c r="G56" s="859"/>
      <c r="H56" s="859"/>
      <c r="I56" s="859"/>
      <c r="J56" s="859"/>
      <c r="K56" s="859"/>
      <c r="L56" s="859"/>
      <c r="M56" s="859"/>
      <c r="N56" s="859"/>
      <c r="O56" s="859"/>
      <c r="P56" s="859"/>
      <c r="Q56" s="859"/>
      <c r="R56" s="859"/>
      <c r="S56" s="859"/>
      <c r="T56" s="859"/>
      <c r="U56" s="859"/>
      <c r="V56" s="859"/>
      <c r="W56" s="859"/>
      <c r="X56" s="859"/>
      <c r="Y56" s="859"/>
      <c r="Z56" s="859"/>
      <c r="AA56" s="859"/>
      <c r="AB56" s="859"/>
      <c r="AC56" s="859"/>
      <c r="AD56" s="859"/>
      <c r="AE56" s="859"/>
      <c r="AF56" s="859"/>
      <c r="AG56" s="859"/>
      <c r="AH56" s="859"/>
    </row>
    <row r="57" spans="1:34" x14ac:dyDescent="0.25">
      <c r="A57" s="856"/>
      <c r="B57" s="859"/>
      <c r="C57" s="859"/>
      <c r="D57" s="859"/>
      <c r="E57" s="859"/>
      <c r="F57" s="859"/>
      <c r="G57" s="859"/>
      <c r="H57" s="859"/>
      <c r="I57" s="859"/>
      <c r="J57" s="859"/>
      <c r="K57" s="859"/>
      <c r="L57" s="859"/>
      <c r="M57" s="859"/>
      <c r="N57" s="859"/>
      <c r="O57" s="859"/>
      <c r="P57" s="859"/>
      <c r="Q57" s="859"/>
      <c r="R57" s="859"/>
      <c r="S57" s="859"/>
      <c r="T57" s="859"/>
      <c r="U57" s="859"/>
      <c r="V57" s="859"/>
      <c r="W57" s="859"/>
      <c r="X57" s="859"/>
      <c r="Y57" s="859"/>
      <c r="Z57" s="859"/>
      <c r="AA57" s="859"/>
      <c r="AB57" s="859"/>
      <c r="AC57" s="859"/>
      <c r="AD57" s="859"/>
      <c r="AE57" s="859"/>
      <c r="AF57" s="859"/>
      <c r="AG57" s="859"/>
      <c r="AH57" s="859"/>
    </row>
    <row r="58" spans="1:34" x14ac:dyDescent="0.25">
      <c r="A58" s="856"/>
      <c r="B58" s="859"/>
      <c r="C58" s="859"/>
      <c r="D58" s="859"/>
      <c r="E58" s="859"/>
      <c r="F58" s="859"/>
      <c r="G58" s="859"/>
      <c r="H58" s="859"/>
      <c r="I58" s="859"/>
      <c r="J58" s="859"/>
      <c r="K58" s="859"/>
      <c r="L58" s="859"/>
      <c r="M58" s="859"/>
      <c r="N58" s="859"/>
      <c r="O58" s="859"/>
      <c r="P58" s="859"/>
      <c r="Q58" s="859"/>
      <c r="R58" s="859"/>
      <c r="S58" s="859"/>
      <c r="T58" s="859"/>
      <c r="U58" s="859"/>
      <c r="V58" s="859"/>
      <c r="W58" s="859"/>
      <c r="X58" s="859"/>
      <c r="Y58" s="859"/>
      <c r="Z58" s="859"/>
      <c r="AA58" s="859"/>
      <c r="AB58" s="859"/>
      <c r="AC58" s="859"/>
      <c r="AD58" s="859"/>
      <c r="AE58" s="859"/>
      <c r="AF58" s="859"/>
      <c r="AG58" s="859"/>
      <c r="AH58" s="859"/>
    </row>
    <row r="59" spans="1:34" x14ac:dyDescent="0.25">
      <c r="A59" s="856"/>
      <c r="B59" s="859"/>
      <c r="C59" s="859"/>
      <c r="D59" s="859"/>
      <c r="E59" s="859"/>
      <c r="F59" s="859"/>
      <c r="G59" s="859"/>
      <c r="H59" s="859"/>
      <c r="I59" s="859"/>
      <c r="J59" s="859"/>
      <c r="K59" s="859"/>
      <c r="L59" s="859"/>
      <c r="M59" s="859"/>
      <c r="N59" s="859"/>
      <c r="O59" s="859"/>
      <c r="P59" s="859"/>
      <c r="Q59" s="859"/>
      <c r="R59" s="859"/>
      <c r="S59" s="859"/>
      <c r="T59" s="859"/>
      <c r="U59" s="859"/>
      <c r="V59" s="859"/>
      <c r="W59" s="859"/>
      <c r="X59" s="859"/>
      <c r="Y59" s="859"/>
      <c r="Z59" s="859"/>
      <c r="AA59" s="859"/>
      <c r="AB59" s="859"/>
      <c r="AC59" s="859"/>
      <c r="AD59" s="859"/>
      <c r="AE59" s="859"/>
      <c r="AF59" s="859"/>
      <c r="AG59" s="859"/>
      <c r="AH59" s="859"/>
    </row>
    <row r="60" spans="1:34" x14ac:dyDescent="0.25">
      <c r="A60" s="856"/>
      <c r="B60" s="859"/>
      <c r="C60" s="859"/>
      <c r="D60" s="859"/>
      <c r="E60" s="859"/>
      <c r="F60" s="859"/>
      <c r="G60" s="859"/>
      <c r="H60" s="859"/>
      <c r="I60" s="859"/>
      <c r="J60" s="859"/>
      <c r="K60" s="859"/>
      <c r="L60" s="859"/>
      <c r="M60" s="859"/>
      <c r="N60" s="859"/>
      <c r="O60" s="859"/>
      <c r="P60" s="859"/>
      <c r="Q60" s="859"/>
      <c r="R60" s="859"/>
      <c r="S60" s="859"/>
      <c r="T60" s="859"/>
      <c r="U60" s="859"/>
      <c r="V60" s="859"/>
      <c r="W60" s="859"/>
      <c r="X60" s="859"/>
      <c r="Y60" s="859"/>
      <c r="Z60" s="859"/>
      <c r="AA60" s="859"/>
      <c r="AB60" s="859"/>
      <c r="AC60" s="859"/>
      <c r="AD60" s="859"/>
      <c r="AE60" s="859"/>
      <c r="AF60" s="859"/>
      <c r="AG60" s="859"/>
      <c r="AH60" s="859"/>
    </row>
    <row r="61" spans="1:34" x14ac:dyDescent="0.25">
      <c r="A61" s="856"/>
      <c r="B61" s="859"/>
      <c r="C61" s="859"/>
      <c r="D61" s="859"/>
      <c r="E61" s="859"/>
      <c r="F61" s="859"/>
      <c r="G61" s="859"/>
      <c r="H61" s="859"/>
      <c r="I61" s="859"/>
      <c r="J61" s="859"/>
      <c r="K61" s="859"/>
      <c r="L61" s="859"/>
      <c r="M61" s="859"/>
      <c r="N61" s="859"/>
      <c r="O61" s="859"/>
      <c r="P61" s="859"/>
      <c r="Q61" s="859"/>
      <c r="R61" s="859"/>
      <c r="S61" s="859"/>
      <c r="T61" s="859"/>
      <c r="U61" s="859"/>
      <c r="V61" s="859"/>
      <c r="W61" s="859"/>
      <c r="X61" s="859"/>
      <c r="Y61" s="859"/>
      <c r="Z61" s="859"/>
      <c r="AA61" s="859"/>
      <c r="AB61" s="859"/>
      <c r="AC61" s="859"/>
      <c r="AD61" s="859"/>
      <c r="AE61" s="859"/>
      <c r="AF61" s="859"/>
      <c r="AG61" s="859"/>
      <c r="AH61" s="859"/>
    </row>
    <row r="62" spans="1:34" x14ac:dyDescent="0.25">
      <c r="A62" s="856"/>
      <c r="B62" s="859"/>
      <c r="C62" s="859"/>
      <c r="D62" s="859"/>
      <c r="E62" s="859"/>
      <c r="F62" s="859"/>
      <c r="G62" s="859"/>
      <c r="H62" s="859"/>
      <c r="I62" s="859"/>
      <c r="J62" s="859"/>
      <c r="K62" s="859"/>
      <c r="L62" s="859"/>
      <c r="M62" s="859"/>
      <c r="N62" s="859"/>
      <c r="O62" s="859"/>
      <c r="P62" s="859"/>
      <c r="Q62" s="859"/>
      <c r="R62" s="859"/>
      <c r="S62" s="859"/>
      <c r="T62" s="859"/>
      <c r="U62" s="859"/>
      <c r="V62" s="859"/>
      <c r="W62" s="859"/>
      <c r="X62" s="859"/>
      <c r="Y62" s="859"/>
      <c r="Z62" s="859"/>
      <c r="AA62" s="859"/>
      <c r="AB62" s="859"/>
      <c r="AC62" s="859"/>
      <c r="AD62" s="859"/>
      <c r="AE62" s="859"/>
      <c r="AF62" s="859"/>
      <c r="AG62" s="859"/>
      <c r="AH62" s="859"/>
    </row>
    <row r="63" spans="1:34" x14ac:dyDescent="0.25">
      <c r="A63" s="856"/>
      <c r="B63" s="859"/>
      <c r="C63" s="859"/>
      <c r="D63" s="859"/>
      <c r="E63" s="859"/>
      <c r="F63" s="859"/>
      <c r="G63" s="859"/>
      <c r="H63" s="859"/>
      <c r="I63" s="859"/>
      <c r="J63" s="859"/>
      <c r="K63" s="859"/>
      <c r="L63" s="859"/>
      <c r="M63" s="859"/>
      <c r="N63" s="859"/>
      <c r="O63" s="859"/>
      <c r="P63" s="859"/>
      <c r="Q63" s="859"/>
      <c r="R63" s="859"/>
      <c r="S63" s="859"/>
      <c r="T63" s="859"/>
      <c r="U63" s="859"/>
      <c r="V63" s="859"/>
      <c r="W63" s="859"/>
      <c r="X63" s="859"/>
      <c r="Y63" s="859"/>
      <c r="Z63" s="859"/>
      <c r="AA63" s="859"/>
      <c r="AB63" s="859"/>
      <c r="AC63" s="859"/>
      <c r="AD63" s="859"/>
      <c r="AE63" s="859"/>
      <c r="AF63" s="859"/>
      <c r="AG63" s="859"/>
      <c r="AH63" s="859"/>
    </row>
    <row r="64" spans="1:34" x14ac:dyDescent="0.25">
      <c r="A64" s="856"/>
      <c r="B64" s="859"/>
      <c r="C64" s="859"/>
      <c r="D64" s="859"/>
      <c r="E64" s="859"/>
      <c r="F64" s="859"/>
      <c r="G64" s="859"/>
      <c r="H64" s="859"/>
      <c r="I64" s="859"/>
      <c r="J64" s="859"/>
      <c r="K64" s="859"/>
      <c r="L64" s="859"/>
      <c r="M64" s="859"/>
      <c r="N64" s="859"/>
      <c r="O64" s="859"/>
      <c r="P64" s="859"/>
      <c r="Q64" s="859"/>
      <c r="R64" s="859"/>
      <c r="S64" s="859"/>
      <c r="T64" s="859"/>
      <c r="U64" s="859"/>
      <c r="V64" s="859"/>
      <c r="W64" s="859"/>
      <c r="X64" s="859"/>
      <c r="Y64" s="859"/>
      <c r="Z64" s="859"/>
      <c r="AA64" s="859"/>
      <c r="AB64" s="859"/>
      <c r="AC64" s="859"/>
      <c r="AD64" s="859"/>
      <c r="AE64" s="859"/>
      <c r="AF64" s="859"/>
      <c r="AG64" s="859"/>
      <c r="AH64" s="859"/>
    </row>
    <row r="65" spans="1:34" x14ac:dyDescent="0.25">
      <c r="A65" s="856"/>
      <c r="B65" s="859"/>
      <c r="C65" s="859"/>
      <c r="D65" s="859"/>
      <c r="E65" s="859"/>
      <c r="F65" s="859"/>
      <c r="G65" s="859"/>
      <c r="H65" s="859"/>
      <c r="I65" s="859"/>
      <c r="J65" s="859"/>
      <c r="K65" s="859"/>
      <c r="L65" s="859"/>
      <c r="M65" s="859"/>
      <c r="N65" s="859"/>
      <c r="O65" s="859"/>
      <c r="P65" s="859"/>
      <c r="Q65" s="859"/>
      <c r="R65" s="859"/>
      <c r="S65" s="859"/>
      <c r="T65" s="859"/>
      <c r="U65" s="859"/>
      <c r="V65" s="859"/>
      <c r="W65" s="859"/>
      <c r="X65" s="859"/>
      <c r="Y65" s="859"/>
      <c r="Z65" s="859"/>
      <c r="AA65" s="859"/>
      <c r="AB65" s="859"/>
      <c r="AC65" s="859"/>
      <c r="AD65" s="859"/>
      <c r="AE65" s="859"/>
      <c r="AF65" s="859"/>
      <c r="AG65" s="859"/>
      <c r="AH65" s="859"/>
    </row>
    <row r="66" spans="1:34" x14ac:dyDescent="0.25">
      <c r="A66" s="856"/>
      <c r="B66" s="859"/>
      <c r="C66" s="859"/>
      <c r="D66" s="859"/>
      <c r="E66" s="859"/>
      <c r="F66" s="859"/>
      <c r="G66" s="859"/>
      <c r="H66" s="859"/>
      <c r="I66" s="859"/>
      <c r="J66" s="859"/>
      <c r="K66" s="859"/>
      <c r="L66" s="859"/>
      <c r="M66" s="859"/>
      <c r="N66" s="859"/>
      <c r="O66" s="859"/>
      <c r="P66" s="859"/>
      <c r="Q66" s="859"/>
      <c r="R66" s="859"/>
      <c r="S66" s="859"/>
      <c r="T66" s="859"/>
      <c r="U66" s="859"/>
      <c r="V66" s="859"/>
      <c r="W66" s="859"/>
      <c r="X66" s="859"/>
      <c r="Y66" s="859"/>
      <c r="Z66" s="859"/>
      <c r="AA66" s="859"/>
      <c r="AB66" s="859"/>
      <c r="AC66" s="859"/>
      <c r="AD66" s="859"/>
      <c r="AE66" s="859"/>
      <c r="AF66" s="859"/>
      <c r="AG66" s="859"/>
      <c r="AH66" s="859"/>
    </row>
    <row r="67" spans="1:34" x14ac:dyDescent="0.25">
      <c r="A67" s="856"/>
      <c r="B67" s="859"/>
      <c r="C67" s="859"/>
      <c r="D67" s="859"/>
      <c r="E67" s="859"/>
      <c r="F67" s="859"/>
      <c r="G67" s="859"/>
      <c r="H67" s="859"/>
      <c r="I67" s="859"/>
      <c r="J67" s="859"/>
      <c r="K67" s="859"/>
      <c r="L67" s="859"/>
      <c r="M67" s="859"/>
      <c r="N67" s="859"/>
      <c r="O67" s="859"/>
      <c r="P67" s="859"/>
      <c r="Q67" s="859"/>
      <c r="R67" s="859"/>
      <c r="S67" s="859"/>
      <c r="T67" s="859"/>
      <c r="U67" s="859"/>
      <c r="V67" s="859"/>
      <c r="W67" s="859"/>
      <c r="X67" s="859"/>
      <c r="Y67" s="859"/>
      <c r="Z67" s="859"/>
      <c r="AA67" s="859"/>
      <c r="AB67" s="859"/>
      <c r="AC67" s="859"/>
      <c r="AD67" s="859"/>
      <c r="AE67" s="859"/>
      <c r="AF67" s="859"/>
      <c r="AG67" s="859"/>
      <c r="AH67" s="859"/>
    </row>
    <row r="68" spans="1:34" x14ac:dyDescent="0.25">
      <c r="A68" s="856"/>
      <c r="B68" s="859"/>
      <c r="C68" s="859"/>
      <c r="D68" s="859"/>
      <c r="E68" s="859"/>
      <c r="F68" s="859"/>
      <c r="G68" s="859"/>
      <c r="H68" s="859"/>
      <c r="I68" s="859"/>
      <c r="J68" s="859"/>
      <c r="K68" s="859"/>
      <c r="L68" s="859"/>
      <c r="M68" s="859"/>
      <c r="N68" s="859"/>
      <c r="O68" s="859"/>
      <c r="P68" s="859"/>
      <c r="Q68" s="859"/>
      <c r="R68" s="859"/>
      <c r="S68" s="859"/>
      <c r="T68" s="859"/>
      <c r="U68" s="859"/>
      <c r="V68" s="859"/>
      <c r="W68" s="859"/>
      <c r="X68" s="859"/>
      <c r="Y68" s="859"/>
      <c r="Z68" s="859"/>
      <c r="AA68" s="859"/>
      <c r="AB68" s="859"/>
      <c r="AC68" s="859"/>
      <c r="AD68" s="859"/>
      <c r="AE68" s="859"/>
      <c r="AF68" s="859"/>
      <c r="AG68" s="859"/>
      <c r="AH68" s="859"/>
    </row>
    <row r="69" spans="1:34" x14ac:dyDescent="0.25">
      <c r="A69" s="856"/>
      <c r="B69" s="859"/>
      <c r="C69" s="859"/>
      <c r="D69" s="859"/>
      <c r="E69" s="859"/>
      <c r="F69" s="859"/>
      <c r="G69" s="859"/>
      <c r="H69" s="859"/>
      <c r="I69" s="859"/>
      <c r="J69" s="859"/>
      <c r="K69" s="859"/>
      <c r="L69" s="859"/>
      <c r="M69" s="859"/>
      <c r="N69" s="859"/>
      <c r="O69" s="859"/>
      <c r="P69" s="859"/>
      <c r="Q69" s="859"/>
      <c r="R69" s="859"/>
      <c r="S69" s="859"/>
      <c r="T69" s="859"/>
      <c r="U69" s="859"/>
      <c r="V69" s="859"/>
      <c r="W69" s="859"/>
      <c r="X69" s="859"/>
      <c r="Y69" s="859"/>
      <c r="Z69" s="859"/>
      <c r="AA69" s="859"/>
      <c r="AB69" s="859"/>
      <c r="AC69" s="859"/>
      <c r="AD69" s="859"/>
      <c r="AE69" s="859"/>
      <c r="AF69" s="859"/>
      <c r="AG69" s="859"/>
      <c r="AH69" s="859"/>
    </row>
    <row r="70" spans="1:34" x14ac:dyDescent="0.25">
      <c r="A70" s="856"/>
      <c r="B70" s="859"/>
      <c r="C70" s="859"/>
      <c r="D70" s="859"/>
      <c r="E70" s="859"/>
      <c r="F70" s="859"/>
      <c r="G70" s="859"/>
      <c r="H70" s="859"/>
      <c r="I70" s="859"/>
      <c r="J70" s="859"/>
      <c r="K70" s="859"/>
      <c r="L70" s="859"/>
      <c r="M70" s="859"/>
      <c r="N70" s="859"/>
      <c r="O70" s="859"/>
      <c r="P70" s="859"/>
      <c r="Q70" s="859"/>
      <c r="R70" s="859"/>
      <c r="S70" s="859"/>
      <c r="T70" s="859"/>
      <c r="U70" s="859"/>
      <c r="V70" s="859"/>
      <c r="W70" s="859"/>
      <c r="X70" s="859"/>
      <c r="Y70" s="859"/>
      <c r="Z70" s="859"/>
      <c r="AA70" s="859"/>
      <c r="AB70" s="859"/>
      <c r="AC70" s="859"/>
      <c r="AD70" s="859"/>
      <c r="AE70" s="859"/>
      <c r="AF70" s="859"/>
      <c r="AG70" s="859"/>
      <c r="AH70" s="859"/>
    </row>
    <row r="71" spans="1:34" x14ac:dyDescent="0.25">
      <c r="A71" s="856"/>
      <c r="B71" s="859"/>
      <c r="C71" s="859"/>
      <c r="D71" s="859"/>
      <c r="E71" s="859"/>
      <c r="F71" s="859"/>
      <c r="G71" s="859"/>
      <c r="H71" s="859"/>
      <c r="I71" s="859"/>
      <c r="J71" s="859"/>
      <c r="K71" s="859"/>
      <c r="L71" s="859"/>
      <c r="M71" s="859"/>
      <c r="N71" s="859"/>
      <c r="O71" s="859"/>
      <c r="P71" s="859"/>
      <c r="Q71" s="859"/>
      <c r="R71" s="859"/>
      <c r="S71" s="859"/>
      <c r="T71" s="859"/>
      <c r="U71" s="859"/>
      <c r="V71" s="859"/>
      <c r="W71" s="859"/>
      <c r="X71" s="859"/>
      <c r="Y71" s="859"/>
      <c r="Z71" s="859"/>
      <c r="AA71" s="859"/>
      <c r="AB71" s="859"/>
      <c r="AC71" s="859"/>
      <c r="AD71" s="859"/>
      <c r="AE71" s="859"/>
      <c r="AF71" s="859"/>
      <c r="AG71" s="859"/>
      <c r="AH71" s="859"/>
    </row>
    <row r="72" spans="1:34" x14ac:dyDescent="0.25">
      <c r="A72" s="856"/>
      <c r="B72" s="859"/>
      <c r="C72" s="859"/>
      <c r="D72" s="859"/>
      <c r="E72" s="859"/>
      <c r="F72" s="859"/>
      <c r="G72" s="859"/>
      <c r="H72" s="859"/>
      <c r="I72" s="859"/>
      <c r="J72" s="859"/>
      <c r="K72" s="859"/>
      <c r="L72" s="859"/>
      <c r="M72" s="859"/>
      <c r="N72" s="859"/>
      <c r="O72" s="859"/>
      <c r="P72" s="859"/>
      <c r="Q72" s="859"/>
      <c r="R72" s="859"/>
      <c r="S72" s="859"/>
      <c r="T72" s="859"/>
      <c r="U72" s="859"/>
      <c r="V72" s="859"/>
      <c r="W72" s="859"/>
      <c r="X72" s="859"/>
      <c r="Y72" s="859"/>
      <c r="Z72" s="859"/>
      <c r="AA72" s="859"/>
      <c r="AB72" s="859"/>
      <c r="AC72" s="859"/>
      <c r="AD72" s="859"/>
      <c r="AE72" s="859"/>
      <c r="AF72" s="859"/>
      <c r="AG72" s="859"/>
      <c r="AH72" s="859"/>
    </row>
    <row r="73" spans="1:34" x14ac:dyDescent="0.25">
      <c r="A73" s="856"/>
      <c r="B73" s="859"/>
      <c r="C73" s="859"/>
      <c r="D73" s="859"/>
      <c r="E73" s="859"/>
      <c r="F73" s="859"/>
      <c r="G73" s="859"/>
      <c r="H73" s="859"/>
      <c r="I73" s="859"/>
      <c r="J73" s="859"/>
      <c r="K73" s="859"/>
      <c r="L73" s="859"/>
      <c r="M73" s="859"/>
      <c r="N73" s="859"/>
      <c r="O73" s="859"/>
      <c r="P73" s="859"/>
      <c r="Q73" s="859"/>
      <c r="R73" s="859"/>
      <c r="S73" s="859"/>
      <c r="T73" s="859"/>
      <c r="U73" s="859"/>
      <c r="V73" s="859"/>
      <c r="W73" s="859"/>
      <c r="X73" s="859"/>
      <c r="Y73" s="859"/>
      <c r="Z73" s="859"/>
      <c r="AA73" s="859"/>
      <c r="AB73" s="859"/>
      <c r="AC73" s="859"/>
      <c r="AD73" s="859"/>
      <c r="AE73" s="859"/>
      <c r="AF73" s="859"/>
      <c r="AG73" s="859"/>
      <c r="AH73" s="859"/>
    </row>
    <row r="74" spans="1:34" x14ac:dyDescent="0.25">
      <c r="A74" s="857"/>
      <c r="B74" s="860"/>
      <c r="C74" s="860"/>
      <c r="D74" s="860"/>
      <c r="E74" s="860"/>
      <c r="F74" s="860"/>
      <c r="G74" s="860"/>
      <c r="H74" s="860"/>
      <c r="I74" s="860"/>
      <c r="J74" s="860"/>
      <c r="K74" s="860"/>
      <c r="L74" s="860"/>
      <c r="M74" s="860"/>
      <c r="N74" s="860"/>
      <c r="O74" s="860"/>
      <c r="P74" s="860"/>
      <c r="Q74" s="860"/>
      <c r="R74" s="860"/>
      <c r="S74" s="860"/>
      <c r="T74" s="860"/>
      <c r="U74" s="860"/>
      <c r="V74" s="860"/>
      <c r="W74" s="860"/>
      <c r="X74" s="860"/>
      <c r="Y74" s="860"/>
      <c r="Z74" s="860"/>
      <c r="AA74" s="860"/>
      <c r="AB74" s="860"/>
      <c r="AC74" s="860"/>
      <c r="AD74" s="860"/>
      <c r="AE74" s="860"/>
      <c r="AF74" s="860"/>
      <c r="AG74" s="860"/>
      <c r="AH74" s="860"/>
    </row>
  </sheetData>
  <mergeCells count="14">
    <mergeCell ref="A29:A48"/>
    <mergeCell ref="B29:W48"/>
    <mergeCell ref="X29:AH48"/>
    <mergeCell ref="A49:A74"/>
    <mergeCell ref="B49:W74"/>
    <mergeCell ref="X49:AH74"/>
    <mergeCell ref="A9:A28"/>
    <mergeCell ref="B9:W28"/>
    <mergeCell ref="X9:AH28"/>
    <mergeCell ref="G1:AA1"/>
    <mergeCell ref="G2:AA4"/>
    <mergeCell ref="AF4:AG4"/>
    <mergeCell ref="B8:W8"/>
    <mergeCell ref="X8:AH8"/>
  </mergeCells>
  <printOptions horizontalCentered="1" verticalCentered="1"/>
  <pageMargins left="0.25" right="0" top="0.25" bottom="0.25" header="0.5" footer="0.25"/>
  <pageSetup paperSize="9" scale="82" orientation="portrait" r:id="rId1"/>
  <headerFooter alignWithMargins="0">
    <oddFooter>&amp;L&amp;"Arial,Bold"&amp;8INTERNAL USE ONLY&amp;R&amp;"Tw Cen MT,Regular"&amp;5&amp;Z&amp;F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490B-66ED-4B3A-8223-B9953A11ECE2}">
  <sheetPr>
    <tabColor rgb="FFC00000"/>
  </sheetPr>
  <dimension ref="A2:AB104"/>
  <sheetViews>
    <sheetView topLeftCell="D1" zoomScaleNormal="100" workbookViewId="0">
      <selection activeCell="P4" sqref="P4"/>
    </sheetView>
  </sheetViews>
  <sheetFormatPr defaultRowHeight="14.5" x14ac:dyDescent="0.35"/>
  <cols>
    <col min="1" max="1" width="35.1796875" style="8" customWidth="1"/>
    <col min="2" max="2" width="39.81640625" customWidth="1"/>
    <col min="4" max="4" width="23.1796875" customWidth="1"/>
    <col min="5" max="5" width="25.453125" customWidth="1"/>
    <col min="7" max="7" width="16.1796875" customWidth="1"/>
    <col min="8" max="8" width="22.54296875" customWidth="1"/>
    <col min="10" max="10" width="10.7265625" customWidth="1"/>
    <col min="16" max="16" width="11.54296875" customWidth="1"/>
    <col min="18" max="18" width="12.90625" bestFit="1" customWidth="1"/>
  </cols>
  <sheetData>
    <row r="2" spans="1:28" x14ac:dyDescent="0.35">
      <c r="D2" s="862" t="s">
        <v>39</v>
      </c>
      <c r="E2" s="862"/>
      <c r="G2" s="863" t="s">
        <v>40</v>
      </c>
      <c r="H2" s="863"/>
    </row>
    <row r="3" spans="1:28" s="10" customFormat="1" ht="23.5" x14ac:dyDescent="0.35">
      <c r="A3" s="864" t="s">
        <v>41</v>
      </c>
      <c r="B3" s="865"/>
      <c r="D3" s="9" t="s">
        <v>42</v>
      </c>
      <c r="E3" s="9" t="s">
        <v>43</v>
      </c>
      <c r="G3" s="10" t="s">
        <v>44</v>
      </c>
      <c r="H3" s="10" t="s">
        <v>45</v>
      </c>
      <c r="J3" s="10" t="s">
        <v>46</v>
      </c>
      <c r="L3" s="10" t="s">
        <v>7</v>
      </c>
      <c r="O3" s="10" t="s">
        <v>47</v>
      </c>
      <c r="P3" s="10" t="s">
        <v>48</v>
      </c>
      <c r="R3" s="10" t="s">
        <v>49</v>
      </c>
      <c r="T3" s="10" t="s">
        <v>50</v>
      </c>
    </row>
    <row r="4" spans="1:28" x14ac:dyDescent="0.35">
      <c r="G4" t="s">
        <v>51</v>
      </c>
      <c r="H4" t="s">
        <v>52</v>
      </c>
      <c r="J4" t="s">
        <v>53</v>
      </c>
      <c r="L4" t="s">
        <v>53</v>
      </c>
      <c r="O4" t="s">
        <v>510</v>
      </c>
      <c r="P4" t="s">
        <v>54</v>
      </c>
      <c r="R4" t="s">
        <v>55</v>
      </c>
      <c r="T4">
        <v>0</v>
      </c>
      <c r="W4" t="s">
        <v>56</v>
      </c>
    </row>
    <row r="5" spans="1:28" ht="14.5" customHeight="1" x14ac:dyDescent="0.35">
      <c r="A5" s="861" t="s">
        <v>57</v>
      </c>
      <c r="B5" t="s">
        <v>58</v>
      </c>
      <c r="D5" t="s">
        <v>59</v>
      </c>
      <c r="E5" t="s">
        <v>60</v>
      </c>
      <c r="G5" t="s">
        <v>61</v>
      </c>
      <c r="H5" t="s">
        <v>62</v>
      </c>
      <c r="J5" t="s">
        <v>63</v>
      </c>
      <c r="L5" t="s">
        <v>64</v>
      </c>
      <c r="P5" t="s">
        <v>65</v>
      </c>
      <c r="R5" t="s">
        <v>66</v>
      </c>
      <c r="T5">
        <v>1</v>
      </c>
      <c r="W5" t="s">
        <v>67</v>
      </c>
      <c r="X5" t="s">
        <v>68</v>
      </c>
      <c r="Y5" t="s">
        <v>69</v>
      </c>
      <c r="Z5" t="s">
        <v>70</v>
      </c>
      <c r="AA5" t="s">
        <v>27</v>
      </c>
      <c r="AB5" t="s">
        <v>71</v>
      </c>
    </row>
    <row r="6" spans="1:28" x14ac:dyDescent="0.35">
      <c r="A6" s="861"/>
      <c r="B6" t="s">
        <v>72</v>
      </c>
      <c r="D6" t="s">
        <v>73</v>
      </c>
      <c r="E6" t="s">
        <v>74</v>
      </c>
      <c r="G6" t="s">
        <v>75</v>
      </c>
      <c r="H6" t="s">
        <v>76</v>
      </c>
      <c r="J6" t="s">
        <v>77</v>
      </c>
      <c r="L6" t="s">
        <v>78</v>
      </c>
      <c r="P6" t="s">
        <v>79</v>
      </c>
      <c r="R6" t="s">
        <v>80</v>
      </c>
      <c r="T6">
        <v>2</v>
      </c>
    </row>
    <row r="7" spans="1:28" x14ac:dyDescent="0.35">
      <c r="A7" s="861"/>
      <c r="B7" t="s">
        <v>81</v>
      </c>
      <c r="D7" t="s">
        <v>82</v>
      </c>
      <c r="E7" t="s">
        <v>83</v>
      </c>
      <c r="G7" t="s">
        <v>84</v>
      </c>
      <c r="H7" t="s">
        <v>85</v>
      </c>
      <c r="L7" t="s">
        <v>86</v>
      </c>
      <c r="R7" t="s">
        <v>87</v>
      </c>
      <c r="T7">
        <v>3</v>
      </c>
    </row>
    <row r="8" spans="1:28" x14ac:dyDescent="0.35">
      <c r="A8" s="861"/>
      <c r="B8" t="s">
        <v>88</v>
      </c>
      <c r="D8" t="s">
        <v>89</v>
      </c>
      <c r="E8" t="s">
        <v>90</v>
      </c>
      <c r="G8" t="s">
        <v>91</v>
      </c>
      <c r="H8" t="s">
        <v>92</v>
      </c>
      <c r="R8" t="s">
        <v>93</v>
      </c>
      <c r="T8">
        <v>4</v>
      </c>
    </row>
    <row r="9" spans="1:28" x14ac:dyDescent="0.35">
      <c r="A9" s="861"/>
      <c r="B9" t="s">
        <v>94</v>
      </c>
      <c r="D9" t="s">
        <v>95</v>
      </c>
      <c r="E9" t="s">
        <v>96</v>
      </c>
      <c r="H9" t="s">
        <v>97</v>
      </c>
      <c r="R9" t="s">
        <v>98</v>
      </c>
      <c r="T9">
        <v>5</v>
      </c>
    </row>
    <row r="10" spans="1:28" x14ac:dyDescent="0.35">
      <c r="A10" s="861"/>
      <c r="B10" t="s">
        <v>99</v>
      </c>
      <c r="D10" t="s">
        <v>100</v>
      </c>
      <c r="E10" t="s">
        <v>101</v>
      </c>
      <c r="H10" t="s">
        <v>102</v>
      </c>
      <c r="R10" t="s">
        <v>103</v>
      </c>
      <c r="T10">
        <v>6</v>
      </c>
    </row>
    <row r="11" spans="1:28" x14ac:dyDescent="0.35">
      <c r="A11" s="861"/>
      <c r="B11" t="s">
        <v>104</v>
      </c>
      <c r="D11" t="s">
        <v>105</v>
      </c>
      <c r="E11" t="s">
        <v>106</v>
      </c>
      <c r="H11" t="s">
        <v>107</v>
      </c>
      <c r="R11" t="s">
        <v>108</v>
      </c>
      <c r="T11">
        <v>7</v>
      </c>
    </row>
    <row r="12" spans="1:28" x14ac:dyDescent="0.35">
      <c r="A12" s="8" t="s">
        <v>73</v>
      </c>
      <c r="B12" t="s">
        <v>109</v>
      </c>
      <c r="D12" t="s">
        <v>110</v>
      </c>
      <c r="E12" t="s">
        <v>111</v>
      </c>
      <c r="H12" t="s">
        <v>112</v>
      </c>
      <c r="R12" t="s">
        <v>113</v>
      </c>
      <c r="T12">
        <v>8</v>
      </c>
    </row>
    <row r="13" spans="1:28" x14ac:dyDescent="0.35">
      <c r="A13" s="861" t="s">
        <v>82</v>
      </c>
      <c r="B13" t="s">
        <v>114</v>
      </c>
      <c r="D13" t="s">
        <v>115</v>
      </c>
      <c r="E13" t="s">
        <v>116</v>
      </c>
      <c r="R13" t="s">
        <v>117</v>
      </c>
      <c r="T13">
        <v>9</v>
      </c>
    </row>
    <row r="14" spans="1:28" x14ac:dyDescent="0.35">
      <c r="A14" s="861"/>
      <c r="B14" t="s">
        <v>118</v>
      </c>
      <c r="D14" t="s">
        <v>119</v>
      </c>
      <c r="R14" t="s">
        <v>120</v>
      </c>
      <c r="T14">
        <v>10</v>
      </c>
    </row>
    <row r="15" spans="1:28" x14ac:dyDescent="0.35">
      <c r="A15" s="861" t="s">
        <v>121</v>
      </c>
      <c r="B15" t="s">
        <v>122</v>
      </c>
      <c r="D15" t="s">
        <v>123</v>
      </c>
      <c r="R15" t="s">
        <v>124</v>
      </c>
      <c r="T15">
        <v>11</v>
      </c>
    </row>
    <row r="16" spans="1:28" x14ac:dyDescent="0.35">
      <c r="A16" s="861"/>
      <c r="B16" t="s">
        <v>125</v>
      </c>
      <c r="D16" t="s">
        <v>126</v>
      </c>
      <c r="G16" t="s">
        <v>127</v>
      </c>
      <c r="H16" s="2"/>
      <c r="I16" t="s">
        <v>128</v>
      </c>
      <c r="R16" t="s">
        <v>129</v>
      </c>
      <c r="T16">
        <v>12</v>
      </c>
    </row>
    <row r="17" spans="1:20" x14ac:dyDescent="0.35">
      <c r="A17" s="861"/>
      <c r="B17" t="s">
        <v>130</v>
      </c>
      <c r="D17" t="s">
        <v>131</v>
      </c>
      <c r="G17" t="s">
        <v>132</v>
      </c>
      <c r="I17" t="s">
        <v>133</v>
      </c>
      <c r="R17" t="s">
        <v>134</v>
      </c>
      <c r="T17">
        <v>13</v>
      </c>
    </row>
    <row r="18" spans="1:20" x14ac:dyDescent="0.35">
      <c r="A18" s="861"/>
      <c r="B18" t="s">
        <v>135</v>
      </c>
      <c r="D18" t="s">
        <v>136</v>
      </c>
      <c r="G18" t="s">
        <v>137</v>
      </c>
      <c r="I18" t="s">
        <v>138</v>
      </c>
      <c r="R18" t="s">
        <v>139</v>
      </c>
      <c r="T18">
        <v>14</v>
      </c>
    </row>
    <row r="19" spans="1:20" x14ac:dyDescent="0.35">
      <c r="A19" s="861"/>
      <c r="B19" t="s">
        <v>140</v>
      </c>
      <c r="D19" t="s">
        <v>141</v>
      </c>
      <c r="G19" t="s">
        <v>142</v>
      </c>
      <c r="I19" t="s">
        <v>143</v>
      </c>
      <c r="T19">
        <v>15</v>
      </c>
    </row>
    <row r="20" spans="1:20" x14ac:dyDescent="0.35">
      <c r="A20" s="861"/>
      <c r="B20" t="s">
        <v>144</v>
      </c>
      <c r="D20" t="s">
        <v>145</v>
      </c>
      <c r="G20" t="s">
        <v>146</v>
      </c>
      <c r="I20" t="s">
        <v>147</v>
      </c>
      <c r="T20">
        <v>16</v>
      </c>
    </row>
    <row r="21" spans="1:20" x14ac:dyDescent="0.35">
      <c r="A21" s="861" t="s">
        <v>148</v>
      </c>
      <c r="B21" t="s">
        <v>149</v>
      </c>
      <c r="D21" t="s">
        <v>150</v>
      </c>
      <c r="G21" t="s">
        <v>151</v>
      </c>
      <c r="I21" t="s">
        <v>152</v>
      </c>
      <c r="T21">
        <v>17</v>
      </c>
    </row>
    <row r="22" spans="1:20" x14ac:dyDescent="0.35">
      <c r="A22" s="861"/>
      <c r="B22" t="s">
        <v>153</v>
      </c>
      <c r="D22" t="s">
        <v>154</v>
      </c>
      <c r="G22" t="s">
        <v>155</v>
      </c>
      <c r="I22" t="s">
        <v>156</v>
      </c>
      <c r="T22">
        <v>18</v>
      </c>
    </row>
    <row r="23" spans="1:20" x14ac:dyDescent="0.35">
      <c r="A23" s="861" t="s">
        <v>157</v>
      </c>
      <c r="B23" t="s">
        <v>158</v>
      </c>
      <c r="D23" t="s">
        <v>159</v>
      </c>
      <c r="I23" t="s">
        <v>160</v>
      </c>
      <c r="T23">
        <v>19</v>
      </c>
    </row>
    <row r="24" spans="1:20" x14ac:dyDescent="0.35">
      <c r="A24" s="861"/>
      <c r="B24" t="s">
        <v>161</v>
      </c>
      <c r="D24" t="s">
        <v>8</v>
      </c>
      <c r="I24" t="s">
        <v>162</v>
      </c>
      <c r="T24">
        <v>20</v>
      </c>
    </row>
    <row r="25" spans="1:20" x14ac:dyDescent="0.35">
      <c r="A25" s="861" t="s">
        <v>163</v>
      </c>
      <c r="B25" t="s">
        <v>164</v>
      </c>
      <c r="D25" t="s">
        <v>165</v>
      </c>
      <c r="I25" t="s">
        <v>166</v>
      </c>
      <c r="T25">
        <v>21</v>
      </c>
    </row>
    <row r="26" spans="1:20" x14ac:dyDescent="0.35">
      <c r="A26" s="861"/>
      <c r="B26" t="s">
        <v>167</v>
      </c>
      <c r="D26" t="s">
        <v>168</v>
      </c>
      <c r="I26" t="s">
        <v>169</v>
      </c>
      <c r="T26">
        <v>22</v>
      </c>
    </row>
    <row r="27" spans="1:20" x14ac:dyDescent="0.35">
      <c r="A27" s="861"/>
      <c r="B27" t="s">
        <v>170</v>
      </c>
      <c r="D27" t="s">
        <v>171</v>
      </c>
      <c r="I27" t="s">
        <v>172</v>
      </c>
      <c r="T27">
        <v>23</v>
      </c>
    </row>
    <row r="28" spans="1:20" x14ac:dyDescent="0.35">
      <c r="A28" s="861" t="s">
        <v>100</v>
      </c>
      <c r="B28" t="s">
        <v>173</v>
      </c>
      <c r="D28" t="s">
        <v>174</v>
      </c>
      <c r="I28" t="s">
        <v>175</v>
      </c>
      <c r="T28">
        <v>24</v>
      </c>
    </row>
    <row r="29" spans="1:20" x14ac:dyDescent="0.35">
      <c r="A29" s="861"/>
      <c r="B29" t="s">
        <v>176</v>
      </c>
      <c r="D29" t="s">
        <v>177</v>
      </c>
      <c r="I29" t="s">
        <v>178</v>
      </c>
      <c r="T29">
        <v>25</v>
      </c>
    </row>
    <row r="30" spans="1:20" x14ac:dyDescent="0.35">
      <c r="A30" s="861"/>
      <c r="B30" t="s">
        <v>179</v>
      </c>
      <c r="D30" t="s">
        <v>180</v>
      </c>
      <c r="I30" t="s">
        <v>181</v>
      </c>
      <c r="T30">
        <v>26</v>
      </c>
    </row>
    <row r="31" spans="1:20" x14ac:dyDescent="0.35">
      <c r="A31" s="861"/>
      <c r="B31" t="s">
        <v>182</v>
      </c>
      <c r="D31" t="s">
        <v>183</v>
      </c>
      <c r="I31" t="s">
        <v>184</v>
      </c>
      <c r="T31">
        <v>27</v>
      </c>
    </row>
    <row r="32" spans="1:20" x14ac:dyDescent="0.35">
      <c r="A32" s="861" t="s">
        <v>105</v>
      </c>
      <c r="B32" t="s">
        <v>185</v>
      </c>
      <c r="D32" t="s">
        <v>186</v>
      </c>
      <c r="I32" t="s">
        <v>187</v>
      </c>
      <c r="T32">
        <v>28</v>
      </c>
    </row>
    <row r="33" spans="1:20" x14ac:dyDescent="0.35">
      <c r="A33" s="861"/>
      <c r="B33" t="s">
        <v>188</v>
      </c>
      <c r="D33" t="s">
        <v>189</v>
      </c>
      <c r="I33" t="s">
        <v>190</v>
      </c>
      <c r="T33">
        <v>29</v>
      </c>
    </row>
    <row r="34" spans="1:20" x14ac:dyDescent="0.35">
      <c r="A34" s="861"/>
      <c r="B34" t="s">
        <v>191</v>
      </c>
      <c r="D34" t="s">
        <v>192</v>
      </c>
      <c r="I34" t="s">
        <v>193</v>
      </c>
      <c r="T34">
        <v>30</v>
      </c>
    </row>
    <row r="35" spans="1:20" x14ac:dyDescent="0.35">
      <c r="A35" s="861"/>
      <c r="B35" t="s">
        <v>194</v>
      </c>
      <c r="D35" t="s">
        <v>195</v>
      </c>
      <c r="I35" t="s">
        <v>196</v>
      </c>
      <c r="T35">
        <v>31</v>
      </c>
    </row>
    <row r="36" spans="1:20" x14ac:dyDescent="0.35">
      <c r="A36" s="861" t="s">
        <v>131</v>
      </c>
      <c r="B36" t="s">
        <v>197</v>
      </c>
      <c r="D36" t="s">
        <v>198</v>
      </c>
      <c r="I36" t="s">
        <v>199</v>
      </c>
      <c r="T36">
        <v>32</v>
      </c>
    </row>
    <row r="37" spans="1:20" x14ac:dyDescent="0.35">
      <c r="A37" s="861"/>
      <c r="B37" t="s">
        <v>200</v>
      </c>
      <c r="I37" t="s">
        <v>201</v>
      </c>
      <c r="T37">
        <v>33</v>
      </c>
    </row>
    <row r="38" spans="1:20" x14ac:dyDescent="0.35">
      <c r="A38" s="861" t="s">
        <v>202</v>
      </c>
      <c r="B38" t="s">
        <v>203</v>
      </c>
      <c r="I38" t="s">
        <v>65</v>
      </c>
      <c r="T38">
        <v>34</v>
      </c>
    </row>
    <row r="39" spans="1:20" x14ac:dyDescent="0.35">
      <c r="A39" s="861"/>
      <c r="B39" t="s">
        <v>204</v>
      </c>
      <c r="I39" t="s">
        <v>54</v>
      </c>
      <c r="T39">
        <v>35</v>
      </c>
    </row>
    <row r="40" spans="1:20" x14ac:dyDescent="0.35">
      <c r="A40" s="861"/>
      <c r="B40" t="s">
        <v>205</v>
      </c>
      <c r="I40" t="s">
        <v>206</v>
      </c>
      <c r="T40">
        <v>36</v>
      </c>
    </row>
    <row r="41" spans="1:20" x14ac:dyDescent="0.35">
      <c r="A41" s="861"/>
      <c r="B41" t="s">
        <v>207</v>
      </c>
      <c r="I41" t="s">
        <v>208</v>
      </c>
      <c r="T41">
        <v>37</v>
      </c>
    </row>
    <row r="42" spans="1:20" x14ac:dyDescent="0.35">
      <c r="A42" s="861"/>
      <c r="B42" t="s">
        <v>209</v>
      </c>
      <c r="T42">
        <v>38</v>
      </c>
    </row>
    <row r="43" spans="1:20" x14ac:dyDescent="0.35">
      <c r="A43" s="8" t="s">
        <v>150</v>
      </c>
      <c r="B43" t="s">
        <v>210</v>
      </c>
      <c r="T43">
        <v>39</v>
      </c>
    </row>
    <row r="44" spans="1:20" x14ac:dyDescent="0.35">
      <c r="A44" s="861" t="s">
        <v>165</v>
      </c>
      <c r="B44" t="s">
        <v>211</v>
      </c>
      <c r="T44">
        <v>40</v>
      </c>
    </row>
    <row r="45" spans="1:20" x14ac:dyDescent="0.35">
      <c r="A45" s="861"/>
      <c r="B45" t="s">
        <v>212</v>
      </c>
      <c r="T45">
        <v>41</v>
      </c>
    </row>
    <row r="46" spans="1:20" x14ac:dyDescent="0.35">
      <c r="A46" s="861"/>
      <c r="B46" t="s">
        <v>213</v>
      </c>
      <c r="T46">
        <v>42</v>
      </c>
    </row>
    <row r="47" spans="1:20" x14ac:dyDescent="0.35">
      <c r="A47" s="861" t="s">
        <v>192</v>
      </c>
      <c r="B47" t="s">
        <v>214</v>
      </c>
      <c r="T47">
        <v>43</v>
      </c>
    </row>
    <row r="48" spans="1:20" x14ac:dyDescent="0.35">
      <c r="A48" s="861"/>
      <c r="B48" t="s">
        <v>215</v>
      </c>
      <c r="T48">
        <v>44</v>
      </c>
    </row>
    <row r="49" spans="1:20" x14ac:dyDescent="0.35">
      <c r="A49" s="861" t="s">
        <v>216</v>
      </c>
      <c r="B49" t="s">
        <v>217</v>
      </c>
      <c r="T49">
        <v>45</v>
      </c>
    </row>
    <row r="50" spans="1:20" x14ac:dyDescent="0.35">
      <c r="A50" s="861"/>
      <c r="B50" t="s">
        <v>218</v>
      </c>
      <c r="T50">
        <v>46</v>
      </c>
    </row>
    <row r="51" spans="1:20" x14ac:dyDescent="0.35">
      <c r="A51" s="8" t="s">
        <v>219</v>
      </c>
      <c r="B51" t="s">
        <v>220</v>
      </c>
      <c r="T51">
        <v>47</v>
      </c>
    </row>
    <row r="52" spans="1:20" x14ac:dyDescent="0.35">
      <c r="A52" s="8" t="s">
        <v>219</v>
      </c>
      <c r="B52" t="s">
        <v>221</v>
      </c>
      <c r="T52">
        <v>48</v>
      </c>
    </row>
    <row r="53" spans="1:20" x14ac:dyDescent="0.35">
      <c r="A53" s="861" t="s">
        <v>222</v>
      </c>
      <c r="B53" t="s">
        <v>223</v>
      </c>
      <c r="T53">
        <v>49</v>
      </c>
    </row>
    <row r="54" spans="1:20" x14ac:dyDescent="0.35">
      <c r="A54" s="861"/>
      <c r="B54" t="s">
        <v>224</v>
      </c>
      <c r="T54">
        <v>50</v>
      </c>
    </row>
    <row r="55" spans="1:20" x14ac:dyDescent="0.35">
      <c r="A55" s="861"/>
      <c r="B55" t="s">
        <v>225</v>
      </c>
      <c r="T55">
        <v>51</v>
      </c>
    </row>
    <row r="56" spans="1:20" x14ac:dyDescent="0.35">
      <c r="B56" s="11"/>
      <c r="T56">
        <v>52</v>
      </c>
    </row>
    <row r="57" spans="1:20" x14ac:dyDescent="0.35">
      <c r="T57">
        <v>53</v>
      </c>
    </row>
    <row r="58" spans="1:20" x14ac:dyDescent="0.35">
      <c r="T58">
        <v>54</v>
      </c>
    </row>
    <row r="59" spans="1:20" x14ac:dyDescent="0.35">
      <c r="T59">
        <v>55</v>
      </c>
    </row>
    <row r="60" spans="1:20" x14ac:dyDescent="0.35">
      <c r="T60">
        <v>56</v>
      </c>
    </row>
    <row r="61" spans="1:20" x14ac:dyDescent="0.35">
      <c r="T61">
        <v>57</v>
      </c>
    </row>
    <row r="62" spans="1:20" x14ac:dyDescent="0.35">
      <c r="T62">
        <v>58</v>
      </c>
    </row>
    <row r="63" spans="1:20" x14ac:dyDescent="0.35">
      <c r="T63">
        <v>59</v>
      </c>
    </row>
    <row r="64" spans="1:20" x14ac:dyDescent="0.35">
      <c r="T64">
        <v>60</v>
      </c>
    </row>
    <row r="65" spans="20:20" x14ac:dyDescent="0.35">
      <c r="T65">
        <v>61</v>
      </c>
    </row>
    <row r="66" spans="20:20" x14ac:dyDescent="0.35">
      <c r="T66">
        <v>62</v>
      </c>
    </row>
    <row r="67" spans="20:20" x14ac:dyDescent="0.35">
      <c r="T67">
        <v>63</v>
      </c>
    </row>
    <row r="68" spans="20:20" x14ac:dyDescent="0.35">
      <c r="T68">
        <v>64</v>
      </c>
    </row>
    <row r="69" spans="20:20" x14ac:dyDescent="0.35">
      <c r="T69">
        <v>65</v>
      </c>
    </row>
    <row r="70" spans="20:20" x14ac:dyDescent="0.35">
      <c r="T70">
        <v>66</v>
      </c>
    </row>
    <row r="71" spans="20:20" x14ac:dyDescent="0.35">
      <c r="T71">
        <v>67</v>
      </c>
    </row>
    <row r="72" spans="20:20" x14ac:dyDescent="0.35">
      <c r="T72">
        <v>68</v>
      </c>
    </row>
    <row r="73" spans="20:20" x14ac:dyDescent="0.35">
      <c r="T73">
        <v>69</v>
      </c>
    </row>
    <row r="74" spans="20:20" x14ac:dyDescent="0.35">
      <c r="T74">
        <v>70</v>
      </c>
    </row>
    <row r="75" spans="20:20" x14ac:dyDescent="0.35">
      <c r="T75">
        <v>71</v>
      </c>
    </row>
    <row r="76" spans="20:20" x14ac:dyDescent="0.35">
      <c r="T76">
        <v>72</v>
      </c>
    </row>
    <row r="77" spans="20:20" x14ac:dyDescent="0.35">
      <c r="T77">
        <v>73</v>
      </c>
    </row>
    <row r="78" spans="20:20" x14ac:dyDescent="0.35">
      <c r="T78">
        <v>74</v>
      </c>
    </row>
    <row r="79" spans="20:20" x14ac:dyDescent="0.35">
      <c r="T79">
        <v>75</v>
      </c>
    </row>
    <row r="80" spans="20:20" x14ac:dyDescent="0.35">
      <c r="T80">
        <v>76</v>
      </c>
    </row>
    <row r="81" spans="20:20" x14ac:dyDescent="0.35">
      <c r="T81">
        <v>77</v>
      </c>
    </row>
    <row r="82" spans="20:20" x14ac:dyDescent="0.35">
      <c r="T82">
        <v>78</v>
      </c>
    </row>
    <row r="83" spans="20:20" x14ac:dyDescent="0.35">
      <c r="T83">
        <v>79</v>
      </c>
    </row>
    <row r="84" spans="20:20" x14ac:dyDescent="0.35">
      <c r="T84">
        <v>80</v>
      </c>
    </row>
    <row r="85" spans="20:20" x14ac:dyDescent="0.35">
      <c r="T85">
        <v>81</v>
      </c>
    </row>
    <row r="86" spans="20:20" x14ac:dyDescent="0.35">
      <c r="T86">
        <v>82</v>
      </c>
    </row>
    <row r="87" spans="20:20" x14ac:dyDescent="0.35">
      <c r="T87">
        <v>83</v>
      </c>
    </row>
    <row r="88" spans="20:20" x14ac:dyDescent="0.35">
      <c r="T88">
        <v>84</v>
      </c>
    </row>
    <row r="89" spans="20:20" x14ac:dyDescent="0.35">
      <c r="T89">
        <v>85</v>
      </c>
    </row>
    <row r="90" spans="20:20" x14ac:dyDescent="0.35">
      <c r="T90">
        <v>86</v>
      </c>
    </row>
    <row r="91" spans="20:20" x14ac:dyDescent="0.35">
      <c r="T91">
        <v>87</v>
      </c>
    </row>
    <row r="92" spans="20:20" x14ac:dyDescent="0.35">
      <c r="T92">
        <v>88</v>
      </c>
    </row>
    <row r="93" spans="20:20" x14ac:dyDescent="0.35">
      <c r="T93">
        <v>89</v>
      </c>
    </row>
    <row r="94" spans="20:20" x14ac:dyDescent="0.35">
      <c r="T94">
        <v>90</v>
      </c>
    </row>
    <row r="95" spans="20:20" x14ac:dyDescent="0.35">
      <c r="T95">
        <v>91</v>
      </c>
    </row>
    <row r="96" spans="20:20" x14ac:dyDescent="0.35">
      <c r="T96">
        <v>92</v>
      </c>
    </row>
    <row r="97" spans="20:20" x14ac:dyDescent="0.35">
      <c r="T97">
        <v>93</v>
      </c>
    </row>
    <row r="98" spans="20:20" x14ac:dyDescent="0.35">
      <c r="T98">
        <v>94</v>
      </c>
    </row>
    <row r="99" spans="20:20" x14ac:dyDescent="0.35">
      <c r="T99">
        <v>95</v>
      </c>
    </row>
    <row r="100" spans="20:20" x14ac:dyDescent="0.35">
      <c r="T100">
        <v>96</v>
      </c>
    </row>
    <row r="101" spans="20:20" x14ac:dyDescent="0.35">
      <c r="T101">
        <v>97</v>
      </c>
    </row>
    <row r="102" spans="20:20" x14ac:dyDescent="0.35">
      <c r="T102">
        <v>98</v>
      </c>
    </row>
    <row r="103" spans="20:20" x14ac:dyDescent="0.35">
      <c r="T103">
        <v>99</v>
      </c>
    </row>
    <row r="104" spans="20:20" x14ac:dyDescent="0.35">
      <c r="T104">
        <v>100</v>
      </c>
    </row>
  </sheetData>
  <mergeCells count="17">
    <mergeCell ref="A38:A42"/>
    <mergeCell ref="A44:A46"/>
    <mergeCell ref="A47:A48"/>
    <mergeCell ref="A49:A50"/>
    <mergeCell ref="A53:A55"/>
    <mergeCell ref="A36:A37"/>
    <mergeCell ref="D2:E2"/>
    <mergeCell ref="G2:H2"/>
    <mergeCell ref="A3:B3"/>
    <mergeCell ref="A5:A11"/>
    <mergeCell ref="A13:A14"/>
    <mergeCell ref="A15:A20"/>
    <mergeCell ref="A21:A22"/>
    <mergeCell ref="A23:A24"/>
    <mergeCell ref="A25:A27"/>
    <mergeCell ref="A28:A31"/>
    <mergeCell ref="A32:A35"/>
  </mergeCells>
  <pageMargins left="0.7" right="0.7" top="0.75" bottom="0.75" header="0.3" footer="0.3"/>
  <pageSetup paperSize="9" orientation="portrait" r:id="rId1"/>
  <headerFooter>
    <oddHeader>&amp;C&amp;"Calibri"&amp;10&amp;K000000  AGC Group Internal Use Only 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TUTORIAL</vt:lpstr>
      <vt:lpstr>ISI DATA</vt:lpstr>
      <vt:lpstr>AUTO DARI ISI DATA</vt:lpstr>
      <vt:lpstr>CPL PUMP</vt:lpstr>
      <vt:lpstr>BUKTI FOTO</vt:lpstr>
      <vt:lpstr>LIST</vt:lpstr>
      <vt:lpstr>'AUTO DARI ISI DATA'!Print_Area</vt:lpstr>
      <vt:lpstr>'BUKTI FOTO'!Print_Area</vt:lpstr>
      <vt:lpstr>'CPL PUMP'!Print_Area</vt:lpstr>
      <vt:lpstr>TUTORIAL!Print_Area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FARHAN FEBRIANSYAH</dc:creator>
  <cp:lastModifiedBy>MUHAMMAD FARHAN FEBRIANSYAH</cp:lastModifiedBy>
  <cp:lastPrinted>2026-08-01T00:13:48Z</cp:lastPrinted>
  <dcterms:created xsi:type="dcterms:W3CDTF">2026-07-29T12:12:49Z</dcterms:created>
  <dcterms:modified xsi:type="dcterms:W3CDTF">2026-09-12T16:58:53Z</dcterms:modified>
</cp:coreProperties>
</file>